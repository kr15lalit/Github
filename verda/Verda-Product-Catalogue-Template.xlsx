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Fill" sheetId="1" state="visible" r:id="rId3"/>
    <sheet name="Products" sheetId="2" state="visible" r:id="rId4"/>
    <sheet name="Categories" sheetId="3" state="visible" r:id="rId5"/>
    <sheet name="Lists" sheetId="4" state="visible" r:id="rId6"/>
  </sheets>
  <definedNames>
    <definedName function="false" hidden="true" localSheetId="1" name="_xlnm._FilterDatabase" vbProcedure="false">Products!$A$2:$AI$300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Your unique code for this exact pack. One code per size/flavour. Used for stock and orders.
Example: VS-JP-CS-100</t>
        </r>
      </text>
    </comment>
    <comment ref="B2" authorId="0">
      <text>
        <r>
          <rPr>
            <sz val="10"/>
            <rFont val="Arial"/>
            <family val="2"/>
          </rPr>
          <t xml:space="preserve">Name shown on the website. Rows with the SAME name become one product with a size/flavour selector.
Example: Jowar Puffs</t>
        </r>
      </text>
    </comment>
    <comment ref="C2" authorId="0">
      <text>
        <r>
          <rPr>
            <sz val="10"/>
            <rFont val="Arial"/>
            <family val="2"/>
          </rPr>
          <t xml:space="preserve">Pick from the dropdown (from the Categories sheet).
Example: Healthy Snacks</t>
        </r>
      </text>
    </comment>
    <comment ref="D2" authorId="0">
      <text>
        <r>
          <rPr>
            <sz val="10"/>
            <rFont val="Arial"/>
            <family val="2"/>
          </rPr>
          <t xml:space="preserve">How this product's options differ. Use 'No variants' for single-pack products.
Example: Pack size + Flavour</t>
        </r>
      </text>
    </comment>
    <comment ref="E2" authorId="0">
      <text>
        <r>
          <rPr>
            <sz val="10"/>
            <rFont val="Arial"/>
            <family val="2"/>
          </rPr>
          <t xml:space="preserve">Leave blank if there is only one flavour.
Example: Classic Salted</t>
        </r>
      </text>
    </comment>
    <comment ref="F2" authorId="0">
      <text>
        <r>
          <rPr>
            <sz val="10"/>
            <rFont val="Arial"/>
            <family val="2"/>
          </rPr>
          <t xml:space="preserve">Exactly as customers should read it.
Example: 100 g</t>
        </r>
      </text>
    </comment>
    <comment ref="G2" authorId="0">
      <text>
        <r>
          <rPr>
            <sz val="10"/>
            <rFont val="Arial"/>
            <family val="2"/>
          </rPr>
          <t xml:space="preserve">Number only — used for price-per-kg/L and shipping.
Example: 100</t>
        </r>
      </text>
    </comment>
    <comment ref="H2" authorId="0">
      <text>
        <r>
          <rPr>
            <sz val="10"/>
            <rFont val="Arial"/>
            <family val="2"/>
          </rPr>
          <t xml:space="preserve">g, kg, ml, L, pcs or box.
Example: g</t>
        </r>
      </text>
    </comment>
    <comment ref="I2" authorId="0">
      <text>
        <r>
          <rPr>
            <sz val="10"/>
            <rFont val="Arial"/>
            <family val="2"/>
          </rPr>
          <t xml:space="preserve">Packed weight including box/bottle, in kg. Needed for courier charges.
Example: 0.13</t>
        </r>
      </text>
    </comment>
    <comment ref="J2" authorId="0">
      <text>
        <r>
          <rPr>
            <sz val="10"/>
            <rFont val="Arial"/>
            <family val="2"/>
          </rPr>
          <t xml:space="preserve">Packed dimensions for courier (optional).
Example: 20×14×6</t>
        </r>
      </text>
    </comment>
    <comment ref="K2" authorId="0">
      <text>
        <r>
          <rPr>
            <sz val="10"/>
            <rFont val="Arial"/>
            <family val="2"/>
          </rPr>
          <t xml:space="preserve">Maximum Retail Price printed on the pack.
Example: 99</t>
        </r>
      </text>
    </comment>
    <comment ref="L2" authorId="0">
      <text>
        <r>
          <rPr>
            <sz val="10"/>
            <rFont val="Arial"/>
            <family val="2"/>
          </rPr>
          <t xml:space="preserve">Price on the website. Must not be more than MRP. Same as MRP if no discount.
Example: 89</t>
        </r>
      </text>
    </comment>
    <comment ref="M2" authorId="0">
      <text>
        <r>
          <rPr>
            <sz val="10"/>
            <rFont val="Arial"/>
            <family val="2"/>
          </rPr>
          <t xml:space="preserve">Calculated automatically — do not type here.</t>
        </r>
      </text>
    </comment>
    <comment ref="N2" authorId="0">
      <text>
        <r>
          <rPr>
            <sz val="10"/>
            <rFont val="Arial"/>
            <family val="2"/>
          </rPr>
          <t xml:space="preserve">Calculated automatically (for g/kg/ml/L packs).</t>
        </r>
      </text>
    </comment>
    <comment ref="O2" authorId="0">
      <text>
        <r>
          <rPr>
            <sz val="10"/>
            <rFont val="Arial"/>
            <family val="2"/>
          </rPr>
          <t xml:space="preserve">Pick 0%, 5%, 12% or 18%. Confirm with your CA.
Example: 0.12</t>
        </r>
      </text>
    </comment>
    <comment ref="P2" authorId="0">
      <text>
        <r>
          <rPr>
            <sz val="10"/>
            <rFont val="Arial"/>
            <family val="2"/>
          </rPr>
          <t xml:space="preserve">From your GST invoices / CA. Type as text, e.g. 0405.
Example: 1904</t>
        </r>
      </text>
    </comment>
    <comment ref="Q2" authorId="0">
      <text>
        <r>
          <rPr>
            <sz val="10"/>
            <rFont val="Arial"/>
            <family val="2"/>
          </rPr>
          <t xml:space="preserve">Packs available to sell now.
Example: 120</t>
        </r>
      </text>
    </comment>
    <comment ref="R2" authorId="0">
      <text>
        <r>
          <rPr>
            <sz val="10"/>
            <rFont val="Arial"/>
            <family val="2"/>
          </rPr>
          <t xml:space="preserve">You'll be emailed when stock falls to this number.
Example: 20</t>
        </r>
      </text>
    </comment>
    <comment ref="S2" authorId="0">
      <text>
        <r>
          <rPr>
            <sz val="10"/>
            <rFont val="Arial"/>
            <family val="2"/>
          </rPr>
          <t xml:space="preserve">Shown next to the price. Keep under 160 characters.
Example: Light, crunchy jowar puffs with a pinch of salt. Roasted, never fried.</t>
        </r>
      </text>
    </comment>
    <comment ref="T2" authorId="0">
      <text>
        <r>
          <rPr>
            <sz val="10"/>
            <rFont val="Arial"/>
            <family val="2"/>
          </rPr>
          <t xml:space="preserve">Shown in the product's Description tab. Benefits, usage, story.</t>
        </r>
      </text>
    </comment>
    <comment ref="U2" authorId="0">
      <text>
        <r>
          <rPr>
            <sz val="10"/>
            <rFont val="Arial"/>
            <family val="2"/>
          </rPr>
          <t xml:space="preserve">As printed on the pack (FSSAI).</t>
        </r>
      </text>
    </comment>
    <comment ref="V2" authorId="0">
      <text>
        <r>
          <rPr>
            <sz val="10"/>
            <rFont val="Arial"/>
            <family val="2"/>
          </rPr>
          <t xml:space="preserve">Energy, protein, fat, carbs, fibre — as printed on the pack.</t>
        </r>
      </text>
    </comment>
    <comment ref="W2" authorId="0">
      <text>
        <r>
          <rPr>
            <sz val="10"/>
            <rFont val="Arial"/>
            <family val="2"/>
          </rPr>
          <t xml:space="preserve">e.g. Contains nuts / Packed in a facility that handles milk.</t>
        </r>
      </text>
    </comment>
    <comment ref="X2" authorId="0">
      <text>
        <r>
          <rPr>
            <sz val="10"/>
            <rFont val="Arial"/>
            <family val="2"/>
          </rPr>
          <t xml:space="preserve">Shown as a badge.
Example: Vegan</t>
        </r>
      </text>
    </comment>
    <comment ref="Y2" authorId="0">
      <text>
        <r>
          <rPr>
            <sz val="10"/>
            <rFont val="Arial"/>
            <family val="2"/>
          </rPr>
          <t xml:space="preserve">From date of packing.
Example: 6</t>
        </r>
      </text>
    </comment>
    <comment ref="Z2" authorId="0">
      <text>
        <r>
          <rPr>
            <sz val="10"/>
            <rFont val="Arial"/>
            <family val="2"/>
          </rPr>
          <t xml:space="preserve">
Example: Store in a cool, dry place. Keep airtight after opening.</t>
        </r>
      </text>
    </comment>
    <comment ref="AA2" authorId="0">
      <text>
        <r>
          <rPr>
            <sz val="10"/>
            <rFont val="Arial"/>
            <family val="2"/>
          </rPr>
          <t xml:space="preserve">
Example: India</t>
        </r>
      </text>
    </comment>
    <comment ref="AB2" authorId="0">
      <text>
        <r>
          <rPr>
            <sz val="10"/>
            <rFont val="Arial"/>
            <family val="2"/>
          </rPr>
          <t xml:space="preserve">14-digit licence number printed on the pack.</t>
        </r>
      </text>
    </comment>
    <comment ref="AC2" authorId="0">
      <text>
        <r>
          <rPr>
            <sz val="10"/>
            <rFont val="Arial"/>
            <family val="2"/>
          </rPr>
          <t xml:space="preserve">File name of the main photo you will send (square, white background, min 1000×1000).
Example: VS-JP-CS-100.jpg</t>
        </r>
      </text>
    </comment>
    <comment ref="AD2" authorId="0">
      <text>
        <r>
          <rPr>
            <sz val="10"/>
            <rFont val="Arial"/>
            <family val="2"/>
          </rPr>
          <t xml:space="preserve">Back of pack, nutrition panel, lifestyle shots — separated by commas.
Example: VS-JP-CS-100-back.jpg</t>
        </r>
      </text>
    </comment>
    <comment ref="AE2" authorId="0">
      <text>
        <r>
          <rPr>
            <sz val="10"/>
            <rFont val="Arial"/>
            <family val="2"/>
          </rPr>
          <t xml:space="preserve">Words customers might search, separated by commas.
Example: jowar, puffs, millet snack, gluten free</t>
        </r>
      </text>
    </comment>
    <comment ref="AF2" authorId="0">
      <text>
        <r>
          <rPr>
            <sz val="10"/>
            <rFont val="Arial"/>
            <family val="2"/>
          </rPr>
          <t xml:space="preserve">Yes = can appear in 'Trending' on the homepage.
Example: Yes</t>
        </r>
      </text>
    </comment>
    <comment ref="AG2" authorId="0">
      <text>
        <r>
          <rPr>
            <sz val="10"/>
            <rFont val="Arial"/>
            <family val="2"/>
          </rPr>
          <t xml:space="preserve">Yes = shown in Deal of the Week (needs a Selling Price below MRP).
Example: No</t>
        </r>
      </text>
    </comment>
    <comment ref="AH2" authorId="0">
      <text>
        <r>
          <rPr>
            <sz val="10"/>
            <rFont val="Arial"/>
            <family val="2"/>
          </rPr>
          <t xml:space="preserve">Active = live on site; Draft = hidden.
Example: Active</t>
        </r>
      </text>
    </comment>
    <comment ref="AI2" authorId="0">
      <text>
        <r>
          <rPr>
            <sz val="10"/>
            <rFont val="Arial"/>
            <family val="2"/>
          </rPr>
          <t xml:space="preserve">Anything else we should know.</t>
        </r>
      </text>
    </comment>
  </commentList>
</comments>
</file>

<file path=xl/sharedStrings.xml><?xml version="1.0" encoding="utf-8"?>
<sst xmlns="http://schemas.openxmlformats.org/spreadsheetml/2006/main" count="552" uniqueCount="317">
  <si>
    <t xml:space="preserve">Verda — Product Catalogue Template</t>
  </si>
  <si>
    <t xml:space="preserve">Fill this in and send it back. Each row becomes a product (or a size/flavour option) on the website.</t>
  </si>
  <si>
    <t xml:space="preserve">How to fill</t>
  </si>
  <si>
    <t xml:space="preserve">1. Go to the 'Products' sheet. Rows 3–17 are DEMO rows to show the format — overwrite or delete them.</t>
  </si>
  <si>
    <t xml:space="preserve">2. Make ONE ROW PER PACK SIZE / FLAVOUR. Example: Almonds 250 g, 500 g and 1 kg = 3 rows with the same Product Name.</t>
  </si>
  <si>
    <t xml:space="preserve">3. Rows with the same 'Product Name (Group)' become ONE product with a size/flavour selector on the website.</t>
  </si>
  <si>
    <t xml:space="preserve">4. Fill the yellow cells. Dark-green headers are REQUIRED; light-green headers are optional.</t>
  </si>
  <si>
    <t xml:space="preserve">5. Grey-green cells (Discount %, Price per kg/L) calculate themselves — do not type in them.</t>
  </si>
  <si>
    <t xml:space="preserve">6. Use the dropdowns for Category, Unit, GST, Veg/Vegan, Yes/No and Status.</t>
  </si>
  <si>
    <t xml:space="preserve">7. Photos: name each file exactly as in 'Main Image File' (we suggest SKU.jpg) and send them in one folder or zip.</t>
  </si>
  <si>
    <t xml:space="preserve">8. New category? Add it on the 'Categories' sheet first — it then appears in the Category dropdown.</t>
  </si>
  <si>
    <t xml:space="preserve">9. GST rates and HSN codes in the demo rows are examples only. Please confirm yours with your CA.</t>
  </si>
  <si>
    <t xml:space="preserve">Colour legend</t>
  </si>
  <si>
    <t xml:space="preserve">Required column (header)</t>
  </si>
  <si>
    <t xml:space="preserve">Optional column (header)</t>
  </si>
  <si>
    <t xml:space="preserve">Type here</t>
  </si>
  <si>
    <t xml:space="preserve">Calculated automatically — don't type</t>
  </si>
  <si>
    <t xml:space="preserve">Demo row — replace with your data</t>
  </si>
  <si>
    <t xml:space="preserve">Column guide</t>
  </si>
  <si>
    <t xml:space="preserve">Column</t>
  </si>
  <si>
    <t xml:space="preserve">Required?</t>
  </si>
  <si>
    <t xml:space="preserve">What to enter</t>
  </si>
  <si>
    <t xml:space="preserve">Example</t>
  </si>
  <si>
    <t xml:space="preserve">SKU / Item Code</t>
  </si>
  <si>
    <t xml:space="preserve">Yes</t>
  </si>
  <si>
    <t xml:space="preserve">Your unique code for this exact pack. One code per size/flavour. Used for stock and orders.</t>
  </si>
  <si>
    <t xml:space="preserve">VS-JP-CS-100</t>
  </si>
  <si>
    <t xml:space="preserve">Product Name (Group)</t>
  </si>
  <si>
    <t xml:space="preserve">Name shown on the website. Rows with the SAME name become one product with a size/flavour selector.</t>
  </si>
  <si>
    <t xml:space="preserve">Jowar Puffs</t>
  </si>
  <si>
    <t xml:space="preserve">Category</t>
  </si>
  <si>
    <t xml:space="preserve">Pick from the dropdown (from the Categories sheet).</t>
  </si>
  <si>
    <t xml:space="preserve">Healthy Snacks</t>
  </si>
  <si>
    <t xml:space="preserve">Variant Type</t>
  </si>
  <si>
    <t xml:space="preserve">How this product's options differ. Use 'No variants' for single-pack products.</t>
  </si>
  <si>
    <t xml:space="preserve">Pack size + Flavour</t>
  </si>
  <si>
    <t xml:space="preserve">Flavour / Type</t>
  </si>
  <si>
    <t xml:space="preserve">Optional</t>
  </si>
  <si>
    <t xml:space="preserve">Leave blank if there is only one flavour.</t>
  </si>
  <si>
    <t xml:space="preserve">Classic Salted</t>
  </si>
  <si>
    <t xml:space="preserve">Pack Size (as shown)</t>
  </si>
  <si>
    <t xml:space="preserve">Exactly as customers should read it.</t>
  </si>
  <si>
    <t xml:space="preserve">100 g</t>
  </si>
  <si>
    <t xml:space="preserve">Net Qty</t>
  </si>
  <si>
    <t xml:space="preserve">Number only — used for price-per-kg/L and shipping.</t>
  </si>
  <si>
    <t xml:space="preserve">100</t>
  </si>
  <si>
    <t xml:space="preserve">Unit</t>
  </si>
  <si>
    <t xml:space="preserve">g, kg, ml, L, pcs or box.</t>
  </si>
  <si>
    <t xml:space="preserve">g</t>
  </si>
  <si>
    <t xml:space="preserve">Shipping Weight (kg)</t>
  </si>
  <si>
    <t xml:space="preserve">Packed weight including box/bottle, in kg. Needed for courier charges.</t>
  </si>
  <si>
    <t xml:space="preserve">0.13</t>
  </si>
  <si>
    <t xml:space="preserve">Box Size L×W×H (cm)</t>
  </si>
  <si>
    <t xml:space="preserve">Packed dimensions for courier (optional).</t>
  </si>
  <si>
    <t xml:space="preserve">20×14×6</t>
  </si>
  <si>
    <t xml:space="preserve">MRP (₹)</t>
  </si>
  <si>
    <t xml:space="preserve">Maximum Retail Price printed on the pack.</t>
  </si>
  <si>
    <t xml:space="preserve">99</t>
  </si>
  <si>
    <t xml:space="preserve">Selling Price (₹)</t>
  </si>
  <si>
    <t xml:space="preserve">Price on the website. Must not be more than MRP. Same as MRP if no discount.</t>
  </si>
  <si>
    <t xml:space="preserve">89</t>
  </si>
  <si>
    <t xml:space="preserve">Discount %</t>
  </si>
  <si>
    <t xml:space="preserve">Calculated automatically — do not type here.</t>
  </si>
  <si>
    <t xml:space="preserve">Price per kg / L (₹)</t>
  </si>
  <si>
    <t xml:space="preserve">Calculated automatically (for g/kg/ml/L packs).</t>
  </si>
  <si>
    <t xml:space="preserve">GST Rate</t>
  </si>
  <si>
    <t xml:space="preserve">Pick 0%, 5%, 12% or 18%. Confirm with your CA.</t>
  </si>
  <si>
    <t xml:space="preserve">12%</t>
  </si>
  <si>
    <t xml:space="preserve">HSN Code</t>
  </si>
  <si>
    <t xml:space="preserve">From your GST invoices / CA. Type as text, e.g. 0405.</t>
  </si>
  <si>
    <t xml:space="preserve">1904</t>
  </si>
  <si>
    <t xml:space="preserve">Stock Qty</t>
  </si>
  <si>
    <t xml:space="preserve">Packs available to sell now.</t>
  </si>
  <si>
    <t xml:space="preserve">120</t>
  </si>
  <si>
    <t xml:space="preserve">Low Stock Alert</t>
  </si>
  <si>
    <t xml:space="preserve">You'll be emailed when stock falls to this number.</t>
  </si>
  <si>
    <t xml:space="preserve">20</t>
  </si>
  <si>
    <t xml:space="preserve">Short Description (1–2 lines)</t>
  </si>
  <si>
    <t xml:space="preserve">Shown next to the price. Keep under 160 characters.</t>
  </si>
  <si>
    <t xml:space="preserve">Light, crunchy jowar puffs with a pinch of salt. Roasted, never fried.</t>
  </si>
  <si>
    <t xml:space="preserve">Full Description</t>
  </si>
  <si>
    <t xml:space="preserve">Shown in the product's Description tab. Benefits, usage, story.</t>
  </si>
  <si>
    <t xml:space="preserve">Ingredients</t>
  </si>
  <si>
    <t xml:space="preserve">As printed on the pack (FSSAI).</t>
  </si>
  <si>
    <t xml:space="preserve">Nutrition per 100 g (key values)</t>
  </si>
  <si>
    <t xml:space="preserve">Energy, protein, fat, carbs, fibre — as printed on the pack.</t>
  </si>
  <si>
    <t xml:space="preserve">Allergen Info</t>
  </si>
  <si>
    <t xml:space="preserve">e.g. Contains nuts / Packed in a facility that handles milk.</t>
  </si>
  <si>
    <t xml:space="preserve">Veg / Vegan</t>
  </si>
  <si>
    <t xml:space="preserve">Shown as a badge.</t>
  </si>
  <si>
    <t xml:space="preserve">Vegan</t>
  </si>
  <si>
    <t xml:space="preserve">Shelf Life (months)</t>
  </si>
  <si>
    <t xml:space="preserve">From date of packing.</t>
  </si>
  <si>
    <t xml:space="preserve">6</t>
  </si>
  <si>
    <t xml:space="preserve">Storage Instructions</t>
  </si>
  <si>
    <t xml:space="preserve">Store in a cool, dry place. Keep airtight after opening.</t>
  </si>
  <si>
    <t xml:space="preserve">Country of Origin</t>
  </si>
  <si>
    <t xml:space="preserve">India</t>
  </si>
  <si>
    <t xml:space="preserve">FSSAI Licence No.</t>
  </si>
  <si>
    <t xml:space="preserve">14-digit licence number printed on the pack.</t>
  </si>
  <si>
    <t xml:space="preserve">Main Image File</t>
  </si>
  <si>
    <t xml:space="preserve">File name of the main photo you will send (square, white background, min 1000×1000).</t>
  </si>
  <si>
    <t xml:space="preserve">VS-JP-CS-100.jpg</t>
  </si>
  <si>
    <t xml:space="preserve">Extra Image Files</t>
  </si>
  <si>
    <t xml:space="preserve">Back of pack, nutrition panel, lifestyle shots — separated by commas.</t>
  </si>
  <si>
    <t xml:space="preserve">VS-JP-CS-100-back.jpg</t>
  </si>
  <si>
    <t xml:space="preserve">Search Keywords</t>
  </si>
  <si>
    <t xml:space="preserve">Words customers might search, separated by commas.</t>
  </si>
  <si>
    <t xml:space="preserve">jowar, puffs, millet snack, gluten free</t>
  </si>
  <si>
    <t xml:space="preserve">Featured on Home?</t>
  </si>
  <si>
    <t xml:space="preserve">Yes = can appear in 'Trending' on the homepage.</t>
  </si>
  <si>
    <t xml:space="preserve">Deal of the Week?</t>
  </si>
  <si>
    <t xml:space="preserve">Yes = shown in Deal of the Week (needs a Selling Price below MRP).</t>
  </si>
  <si>
    <t xml:space="preserve">No</t>
  </si>
  <si>
    <t xml:space="preserve">Status</t>
  </si>
  <si>
    <t xml:space="preserve">Active = live on site; Draft = hidden.</t>
  </si>
  <si>
    <t xml:space="preserve">Active</t>
  </si>
  <si>
    <t xml:space="preserve">Notes for Website Team</t>
  </si>
  <si>
    <t xml:space="preserve">Anything else we should know.</t>
  </si>
  <si>
    <t xml:space="preserve">VERDA PRODUCT CATALOGUE — one row per pack size / flavour.  Dark headers = required.  Rows 3–17 are demo rows: replace them.</t>
  </si>
  <si>
    <t xml:space="preserve">SKU / Item Code *</t>
  </si>
  <si>
    <t xml:space="preserve">Product Name (Group) *</t>
  </si>
  <si>
    <t xml:space="preserve">Category *</t>
  </si>
  <si>
    <t xml:space="preserve">Variant Type *</t>
  </si>
  <si>
    <t xml:space="preserve">Pack Size (as shown) *</t>
  </si>
  <si>
    <t xml:space="preserve">Net Qty *</t>
  </si>
  <si>
    <t xml:space="preserve">Unit *</t>
  </si>
  <si>
    <t xml:space="preserve">Shipping Weight (kg) *</t>
  </si>
  <si>
    <t xml:space="preserve">MRP (₹) *</t>
  </si>
  <si>
    <t xml:space="preserve">Selling Price (₹) *</t>
  </si>
  <si>
    <t xml:space="preserve">GST Rate *</t>
  </si>
  <si>
    <t xml:space="preserve">HSN Code *</t>
  </si>
  <si>
    <t xml:space="preserve">Stock Qty *</t>
  </si>
  <si>
    <t xml:space="preserve">Short Description (1–2 lines) *</t>
  </si>
  <si>
    <t xml:space="preserve">Ingredients *</t>
  </si>
  <si>
    <t xml:space="preserve">Veg / Vegan *</t>
  </si>
  <si>
    <t xml:space="preserve">Shelf Life (months) *</t>
  </si>
  <si>
    <t xml:space="preserve">Country of Origin *</t>
  </si>
  <si>
    <t xml:space="preserve">FSSAI Licence No. *</t>
  </si>
  <si>
    <t xml:space="preserve">Main Image File *</t>
  </si>
  <si>
    <t xml:space="preserve">Status *</t>
  </si>
  <si>
    <t xml:space="preserve">Made from whole sorghum (jowar), these puffs are roasted — never fried — for a guilt-free crunch. High in fibre and naturally gluten-free. Perfect with evening chai or in kids' tiffin.</t>
  </si>
  <si>
    <t xml:space="preserve">Jowar (sorghum) 92%, rice bran oil, salt, spices</t>
  </si>
  <si>
    <t xml:space="preserve">Energy 395 kcal, Protein 10 g, Fat 6 g, Carbs 76 g, Fibre 7 g</t>
  </si>
  <si>
    <t xml:space="preserve">Packed in a facility that also handles nuts.</t>
  </si>
  <si>
    <t xml:space="preserve">(your 14-digit FSSAI no.)</t>
  </si>
  <si>
    <t xml:space="preserve">VS-JP-CS-200</t>
  </si>
  <si>
    <t xml:space="preserve">200 g</t>
  </si>
  <si>
    <t xml:space="preserve">26×18×7</t>
  </si>
  <si>
    <t xml:space="preserve">Family pack of our classic salted jowar puffs.</t>
  </si>
  <si>
    <t xml:space="preserve">VS-JP-CS-200.jpg</t>
  </si>
  <si>
    <t xml:space="preserve">jowar, puffs, family pack</t>
  </si>
  <si>
    <t xml:space="preserve">Same product as row above — will show as a size option.</t>
  </si>
  <si>
    <t xml:space="preserve">VS-JP-PP-100</t>
  </si>
  <si>
    <t xml:space="preserve">Peri Peri</t>
  </si>
  <si>
    <t xml:space="preserve">Jowar puffs tossed in a fiery peri peri seasoning.</t>
  </si>
  <si>
    <t xml:space="preserve">Jowar (sorghum) 88%, rice bran oil, peri peri seasoning (chilli, garlic, onion, salt)</t>
  </si>
  <si>
    <t xml:space="preserve">Store in a cool, dry place.</t>
  </si>
  <si>
    <t xml:space="preserve">VS-JP-PP-100.jpg</t>
  </si>
  <si>
    <t xml:space="preserve">jowar, peri peri, spicy snack</t>
  </si>
  <si>
    <t xml:space="preserve">Same product, different flavour.</t>
  </si>
  <si>
    <t xml:space="preserve">VS-BP-MM-100</t>
  </si>
  <si>
    <t xml:space="preserve">Bajra Puffs</t>
  </si>
  <si>
    <t xml:space="preserve">Flavour</t>
  </si>
  <si>
    <t xml:space="preserve">Masala Magic</t>
  </si>
  <si>
    <t xml:space="preserve">Pearl millet puffs with a tangy desi masala. Iron-rich and gluten-free.</t>
  </si>
  <si>
    <t xml:space="preserve">Bajra (pearl millet) 90%, rice bran oil, masala (salt, chilli, amchur, spices)</t>
  </si>
  <si>
    <t xml:space="preserve">Energy 400 kcal, Protein 11 g, Fat 7 g, Carbs 74 g, Fibre 8 g</t>
  </si>
  <si>
    <t xml:space="preserve">VS-BP-MM-100.jpg</t>
  </si>
  <si>
    <t xml:space="preserve">bajra, puffs, masala</t>
  </si>
  <si>
    <t xml:space="preserve">VS-MK-PL-100</t>
  </si>
  <si>
    <t xml:space="preserve">Premium Phool Makhana</t>
  </si>
  <si>
    <t xml:space="preserve">Makhana</t>
  </si>
  <si>
    <t xml:space="preserve">Pack size</t>
  </si>
  <si>
    <t xml:space="preserve">Plain</t>
  </si>
  <si>
    <t xml:space="preserve">24×16×8</t>
  </si>
  <si>
    <t xml:space="preserve">0813</t>
  </si>
  <si>
    <t xml:space="preserve">Hand-picked, large-size fox nuts from Bihar.</t>
  </si>
  <si>
    <t xml:space="preserve">Sourced from the ponds of Mithila, Bihar and hand-graded for size. Roast in ghee, add to kheer or curries.</t>
  </si>
  <si>
    <t xml:space="preserve">Fox nuts (makhana) 100%</t>
  </si>
  <si>
    <t xml:space="preserve">Energy 350 kcal, Protein 9.7 g, Fat 0.1 g, Carbs 77 g</t>
  </si>
  <si>
    <t xml:space="preserve">Store in an airtight container.</t>
  </si>
  <si>
    <t xml:space="preserve">VS-MK-PL-100.jpg</t>
  </si>
  <si>
    <t xml:space="preserve">makhana, fox nuts, phool makhana</t>
  </si>
  <si>
    <t xml:space="preserve">VS-MK-PL-250</t>
  </si>
  <si>
    <t xml:space="preserve">250 g</t>
  </si>
  <si>
    <t xml:space="preserve">30×20×10</t>
  </si>
  <si>
    <t xml:space="preserve">Value pack of premium plain makhana.</t>
  </si>
  <si>
    <t xml:space="preserve">VS-MK-PL-250.jpg</t>
  </si>
  <si>
    <t xml:space="preserve">makhana, value pack</t>
  </si>
  <si>
    <t xml:space="preserve">VS-MK-PS-80</t>
  </si>
  <si>
    <t xml:space="preserve">Roasted Makhana – Himalayan Pink Salt</t>
  </si>
  <si>
    <t xml:space="preserve">No variants</t>
  </si>
  <si>
    <t xml:space="preserve">80 g</t>
  </si>
  <si>
    <t xml:space="preserve">22×15×7</t>
  </si>
  <si>
    <t xml:space="preserve">2008</t>
  </si>
  <si>
    <t xml:space="preserve">Fox nuts slow-roasted in olive oil with Himalayan pink salt.</t>
  </si>
  <si>
    <t xml:space="preserve">Fox nuts 90%, olive oil, Himalayan pink salt</t>
  </si>
  <si>
    <t xml:space="preserve">Energy 420 kcal, Protein 9 g, Fat 12 g, Carbs 68 g</t>
  </si>
  <si>
    <t xml:space="preserve">Keep airtight after opening.</t>
  </si>
  <si>
    <t xml:space="preserve">VS-MK-PS-80.jpg</t>
  </si>
  <si>
    <t xml:space="preserve">roasted makhana, healthy snack</t>
  </si>
  <si>
    <t xml:space="preserve">VS-DF-AL-250</t>
  </si>
  <si>
    <t xml:space="preserve">California Almonds</t>
  </si>
  <si>
    <t xml:space="preserve">Dry Fruits &amp; Nuts</t>
  </si>
  <si>
    <t xml:space="preserve">22×16×6</t>
  </si>
  <si>
    <t xml:space="preserve">0802</t>
  </si>
  <si>
    <t xml:space="preserve">Crunchy, naturally sweet California almonds.</t>
  </si>
  <si>
    <t xml:space="preserve">Graded for size and freshness, nitrogen-flushed to lock in crunch.</t>
  </si>
  <si>
    <t xml:space="preserve">Almonds 100%</t>
  </si>
  <si>
    <t xml:space="preserve">Energy 579 kcal, Protein 21 g, Fat 50 g, Carbs 22 g, Fibre 12 g</t>
  </si>
  <si>
    <t xml:space="preserve">Contains tree nuts.</t>
  </si>
  <si>
    <t xml:space="preserve">Refrigerate in summer after opening.</t>
  </si>
  <si>
    <t xml:space="preserve">USA</t>
  </si>
  <si>
    <t xml:space="preserve">VS-DF-AL-250.jpg</t>
  </si>
  <si>
    <t xml:space="preserve">badam, almonds, dry fruits</t>
  </si>
  <si>
    <t xml:space="preserve">Country of origin = where grown.</t>
  </si>
  <si>
    <t xml:space="preserve">VS-DF-AL-500</t>
  </si>
  <si>
    <t xml:space="preserve">500 g</t>
  </si>
  <si>
    <t xml:space="preserve">VS-DF-AL-500.jpg</t>
  </si>
  <si>
    <t xml:space="preserve">badam, almonds</t>
  </si>
  <si>
    <t xml:space="preserve">VS-DF-AL-1K</t>
  </si>
  <si>
    <t xml:space="preserve">1 kg</t>
  </si>
  <si>
    <t xml:space="preserve">kg</t>
  </si>
  <si>
    <t xml:space="preserve">32×22×8</t>
  </si>
  <si>
    <t xml:space="preserve">Bulk pack of premium California almonds.</t>
  </si>
  <si>
    <t xml:space="preserve">VS-DF-AL-1K.jpg</t>
  </si>
  <si>
    <t xml:space="preserve">almonds bulk</t>
  </si>
  <si>
    <t xml:space="preserve">VS-GH-DD</t>
  </si>
  <si>
    <t xml:space="preserve">Diwali Delight Gift Hamper</t>
  </si>
  <si>
    <t xml:space="preserve">Diwali Gift Hampers</t>
  </si>
  <si>
    <t xml:space="preserve">1 box</t>
  </si>
  <si>
    <t xml:space="preserve">box</t>
  </si>
  <si>
    <t xml:space="preserve">30×30×10</t>
  </si>
  <si>
    <t xml:space="preserve">Almonds, cashews, raisins and roasted makhana in a festive keepsake box.</t>
  </si>
  <si>
    <t xml:space="preserve">Contents: California Almonds 200 g, Cashews W320 200 g, Golden Raisins 150 g, Roasted Makhana 80 g. Reusable velvet-finish box with greeting card.</t>
  </si>
  <si>
    <t xml:space="preserve">See contents</t>
  </si>
  <si>
    <t xml:space="preserve">VS-GH-DD.jpg</t>
  </si>
  <si>
    <t xml:space="preserve">VS-GH-DD-open.jpg, VS-GH-DD-contents.jpg</t>
  </si>
  <si>
    <t xml:space="preserve">diwali gift, hamper, corporate gift</t>
  </si>
  <si>
    <t xml:space="preserve">Mixed-GST hampers: confirm rate with CA. Bulk orders: custom branding.</t>
  </si>
  <si>
    <t xml:space="preserve">VS-AR-TD-1K</t>
  </si>
  <si>
    <t xml:space="preserve">Unpolished Toor Dal</t>
  </si>
  <si>
    <t xml:space="preserve">Atta, Rice &amp; Dals</t>
  </si>
  <si>
    <t xml:space="preserve">28×18×6</t>
  </si>
  <si>
    <t xml:space="preserve">0713</t>
  </si>
  <si>
    <t xml:space="preserve">Naturally unpolished arhar dal — more protein, more taste.</t>
  </si>
  <si>
    <t xml:space="preserve">Toor dal (pigeon pea) 100%</t>
  </si>
  <si>
    <t xml:space="preserve">Energy 343 kcal, Protein 22 g, Fat 1.5 g, Carbs 63 g</t>
  </si>
  <si>
    <t xml:space="preserve">VS-AR-TD-1K.jpg</t>
  </si>
  <si>
    <t xml:space="preserve">toor dal, arhar dal, pulses</t>
  </si>
  <si>
    <t xml:space="preserve">Branded/packed pulses may attract GST — confirm with CA.</t>
  </si>
  <si>
    <t xml:space="preserve">VS-OG-MO-1L</t>
  </si>
  <si>
    <t xml:space="preserve">Cold Pressed Mustard Oil</t>
  </si>
  <si>
    <t xml:space="preserve">Oils &amp; Ghee</t>
  </si>
  <si>
    <t xml:space="preserve">1 L</t>
  </si>
  <si>
    <t xml:space="preserve">L</t>
  </si>
  <si>
    <t xml:space="preserve">9×9×28</t>
  </si>
  <si>
    <t xml:space="preserve">1514</t>
  </si>
  <si>
    <t xml:space="preserve">Pungent, pure kachi ghani mustard oil, cold pressed.</t>
  </si>
  <si>
    <t xml:space="preserve">Wood-pressed at low temperature to keep natural aroma and nutrients.</t>
  </si>
  <si>
    <t xml:space="preserve">Mustard oil 100%</t>
  </si>
  <si>
    <t xml:space="preserve">Energy 900 kcal, Fat 100 g (SFA 7 g, MUFA 60 g, PUFA 33 g)</t>
  </si>
  <si>
    <t xml:space="preserve">Keep away from direct sunlight.</t>
  </si>
  <si>
    <t xml:space="preserve">VS-OG-MO-1L.jpg</t>
  </si>
  <si>
    <t xml:space="preserve">sarson tel, mustard oil, kachi ghani</t>
  </si>
  <si>
    <t xml:space="preserve">VS-OG-MO-5L</t>
  </si>
  <si>
    <t xml:space="preserve">5 L</t>
  </si>
  <si>
    <t xml:space="preserve">22×15×32</t>
  </si>
  <si>
    <t xml:space="preserve">Family can of kachi ghani mustard oil.</t>
  </si>
  <si>
    <t xml:space="preserve">Energy 900 kcal, Fat 100 g</t>
  </si>
  <si>
    <t xml:space="preserve">VS-OG-MO-5L.jpg</t>
  </si>
  <si>
    <t xml:space="preserve">mustard oil 5 litre</t>
  </si>
  <si>
    <t xml:space="preserve">Heavy item — check courier charges.</t>
  </si>
  <si>
    <t xml:space="preserve">VS-OG-AG-500</t>
  </si>
  <si>
    <t xml:space="preserve">A2 Desi Cow Ghee</t>
  </si>
  <si>
    <t xml:space="preserve">500 ml</t>
  </si>
  <si>
    <t xml:space="preserve">ml</t>
  </si>
  <si>
    <t xml:space="preserve">10×10×12</t>
  </si>
  <si>
    <t xml:space="preserve">0405</t>
  </si>
  <si>
    <t xml:space="preserve">Traditional bilona-churned A2 ghee with a grainy texture.</t>
  </si>
  <si>
    <t xml:space="preserve">Made from curd of A2 desi cow milk, hand-churned by the bilona method.</t>
  </si>
  <si>
    <t xml:space="preserve">A2 cow milk fat 100%</t>
  </si>
  <si>
    <t xml:space="preserve">Energy 897 kcal, Fat 99.7 g</t>
  </si>
  <si>
    <t xml:space="preserve">Contains milk.</t>
  </si>
  <si>
    <t xml:space="preserve">Veg</t>
  </si>
  <si>
    <t xml:space="preserve">No refrigeration needed. Use a dry spoon.</t>
  </si>
  <si>
    <t xml:space="preserve">VS-OG-AG-500.jpg</t>
  </si>
  <si>
    <t xml:space="preserve">a2 ghee, desi ghee, bilona</t>
  </si>
  <si>
    <t xml:space="preserve">Category Name</t>
  </si>
  <si>
    <t xml:space="preserve">Parent Category (if sub-category)</t>
  </si>
  <si>
    <t xml:space="preserve">Description (shown on category page)</t>
  </si>
  <si>
    <t xml:space="preserve">Category Image File</t>
  </si>
  <si>
    <t xml:space="preserve">Display Order</t>
  </si>
  <si>
    <t xml:space="preserve">Roasted millet puffs and snacks — never fried.</t>
  </si>
  <si>
    <t xml:space="preserve">cat-healthy-snacks.jpg</t>
  </si>
  <si>
    <t xml:space="preserve">Premium phool makhana, plain and roasted flavours.</t>
  </si>
  <si>
    <t xml:space="preserve">cat-makhana.jpg</t>
  </si>
  <si>
    <t xml:space="preserve">Almonds, cashews, raisins, walnuts, pistachios, mixes.</t>
  </si>
  <si>
    <t xml:space="preserve">cat-dry-fruits.jpg</t>
  </si>
  <si>
    <t xml:space="preserve">Festive and corporate gift boxes.</t>
  </si>
  <si>
    <t xml:space="preserve">cat-hampers.jpg</t>
  </si>
  <si>
    <t xml:space="preserve">Everyday staples: flour, rice and pulses.</t>
  </si>
  <si>
    <t xml:space="preserve">cat-staples.jpg</t>
  </si>
  <si>
    <t xml:space="preserve">Cold pressed oils and A2 desi ghee.</t>
  </si>
  <si>
    <t xml:space="preserve">cat-oils-ghee.jpg</t>
  </si>
  <si>
    <t xml:space="preserve">Millets</t>
  </si>
  <si>
    <t xml:space="preserve">Millet flours and whole grains.</t>
  </si>
  <si>
    <t xml:space="preserve">cat-millets.jpg</t>
  </si>
  <si>
    <t xml:space="preserve">GST</t>
  </si>
  <si>
    <t xml:space="preserve">YesNo</t>
  </si>
  <si>
    <t xml:space="preserve">Diet</t>
  </si>
  <si>
    <t xml:space="preserve">VariantBy</t>
  </si>
  <si>
    <t xml:space="preserve">Draft</t>
  </si>
  <si>
    <t xml:space="preserve">Non-veg</t>
  </si>
  <si>
    <t xml:space="preserve">Out of stock</t>
  </si>
  <si>
    <t xml:space="preserve">pcs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</si>
</sst>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₹#,##0"/>
    <numFmt numFmtId="167" formatCode="0%"/>
    <numFmt numFmtId="168" formatCode="@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5F23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3"/>
      <color rgb="FF13261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F5F23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777777"/>
      <name val="Arial"/>
      <family val="0"/>
      <charset val="1"/>
    </font>
    <font>
      <b val="true"/>
      <sz val="11"/>
      <color rgb="FF9C6B12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3261A"/>
        <bgColor rgb="FF333333"/>
      </patternFill>
    </fill>
    <fill>
      <patternFill patternType="solid">
        <fgColor rgb="FF1F5F23"/>
        <bgColor rgb="FF555555"/>
      </patternFill>
    </fill>
    <fill>
      <patternFill patternType="solid">
        <fgColor rgb="FFFFF8DC"/>
        <bgColor rgb="FFFFFDF2"/>
      </patternFill>
    </fill>
    <fill>
      <patternFill patternType="solid">
        <fgColor rgb="FFE8EFE8"/>
        <bgColor rgb="FFFFF8DC"/>
      </patternFill>
    </fill>
    <fill>
      <patternFill patternType="solid">
        <fgColor rgb="FFFFFD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9D5"/>
      </left>
      <right style="thin">
        <color rgb="FFD5D9D5"/>
      </right>
      <top style="thin">
        <color rgb="FFD5D9D5"/>
      </top>
      <bottom style="thin">
        <color rgb="FFD5D9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3261A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FFFDF2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5F23"/>
          <bgColor rgb="FF000000"/>
        </patternFill>
      </fill>
    </dxf>
    <dxf>
      <fill>
        <patternFill patternType="solid">
          <fgColor rgb="FFE8EFE8"/>
          <bgColor rgb="FF000000"/>
        </patternFill>
      </fill>
    </dxf>
    <dxf>
      <fill>
        <patternFill>
          <bgColor rgb="FFF8C9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5F23"/>
      <rgbColor rgb="FF000080"/>
      <rgbColor rgb="FF9C6B12"/>
      <rgbColor rgb="FF800080"/>
      <rgbColor rgb="FF008080"/>
      <rgbColor rgb="FFC0C0C0"/>
      <rgbColor rgb="FF777777"/>
      <rgbColor rgb="FF9999FF"/>
      <rgbColor rgb="FF993366"/>
      <rgbColor rgb="FFFFF8DC"/>
      <rgbColor rgb="FFE8EFE8"/>
      <rgbColor rgb="FF660066"/>
      <rgbColor rgb="FFFF8080"/>
      <rgbColor rgb="FF0066CC"/>
      <rgbColor rgb="FFD5D9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F2"/>
      <rgbColor rgb="FFCCFFCC"/>
      <rgbColor rgb="FFFFFF99"/>
      <rgbColor rgb="FF99CCFF"/>
      <rgbColor rgb="FFFF99CC"/>
      <rgbColor rgb="FFCC99FF"/>
      <rgbColor rgb="FFF8C9C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326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3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/>
      <c r="D6" s="4"/>
      <c r="E6" s="4"/>
    </row>
    <row r="7" customFormat="false" ht="15" hidden="false" customHeight="false" outlineLevel="0" collapsed="false">
      <c r="B7" s="4" t="s">
        <v>4</v>
      </c>
      <c r="C7" s="4"/>
      <c r="D7" s="4"/>
      <c r="E7" s="4"/>
    </row>
    <row r="8" customFormat="false" ht="15" hidden="false" customHeight="false" outlineLevel="0" collapsed="false">
      <c r="B8" s="4" t="s">
        <v>5</v>
      </c>
      <c r="C8" s="4"/>
      <c r="D8" s="4"/>
      <c r="E8" s="4"/>
    </row>
    <row r="9" customFormat="false" ht="15" hidden="false" customHeight="false" outlineLevel="0" collapsed="false">
      <c r="B9" s="4" t="s">
        <v>6</v>
      </c>
      <c r="C9" s="4"/>
      <c r="D9" s="4"/>
      <c r="E9" s="4"/>
    </row>
    <row r="10" customFormat="false" ht="15" hidden="false" customHeight="false" outlineLevel="0" collapsed="false">
      <c r="B10" s="4" t="s">
        <v>7</v>
      </c>
      <c r="C10" s="4"/>
      <c r="D10" s="4"/>
      <c r="E10" s="4"/>
    </row>
    <row r="11" customFormat="false" ht="15" hidden="false" customHeight="false" outlineLevel="0" collapsed="false">
      <c r="B11" s="4" t="s">
        <v>8</v>
      </c>
      <c r="C11" s="4"/>
      <c r="D11" s="4"/>
      <c r="E11" s="4"/>
    </row>
    <row r="12" customFormat="false" ht="15" hidden="false" customHeight="false" outlineLevel="0" collapsed="false">
      <c r="B12" s="4" t="s">
        <v>9</v>
      </c>
      <c r="C12" s="4"/>
      <c r="D12" s="4"/>
      <c r="E12" s="4"/>
    </row>
    <row r="13" customFormat="false" ht="15" hidden="false" customHeight="false" outlineLevel="0" collapsed="false">
      <c r="B13" s="4" t="s">
        <v>10</v>
      </c>
      <c r="C13" s="4"/>
      <c r="D13" s="4"/>
      <c r="E13" s="4"/>
    </row>
    <row r="14" customFormat="false" ht="15" hidden="false" customHeight="false" outlineLevel="0" collapsed="false">
      <c r="B14" s="4" t="s">
        <v>11</v>
      </c>
      <c r="C14" s="4"/>
      <c r="D14" s="4"/>
      <c r="E14" s="4"/>
    </row>
    <row r="16" customFormat="false" ht="16.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5"/>
      <c r="C17" s="6" t="s">
        <v>13</v>
      </c>
    </row>
    <row r="18" customFormat="false" ht="15" hidden="false" customHeight="false" outlineLevel="0" collapsed="false">
      <c r="B18" s="7"/>
      <c r="C18" s="6" t="s">
        <v>14</v>
      </c>
    </row>
    <row r="19" customFormat="false" ht="15" hidden="false" customHeight="false" outlineLevel="0" collapsed="false">
      <c r="B19" s="8"/>
      <c r="C19" s="6" t="s">
        <v>15</v>
      </c>
    </row>
    <row r="20" customFormat="false" ht="15" hidden="false" customHeight="false" outlineLevel="0" collapsed="false">
      <c r="B20" s="9"/>
      <c r="C20" s="6" t="s">
        <v>16</v>
      </c>
    </row>
    <row r="21" customFormat="false" ht="15" hidden="false" customHeight="false" outlineLevel="0" collapsed="false">
      <c r="B21" s="10"/>
      <c r="C21" s="6" t="s">
        <v>17</v>
      </c>
    </row>
    <row r="23" customFormat="false" ht="16.15" hidden="false" customHeight="false" outlineLevel="0" collapsed="false">
      <c r="B23" s="3" t="s">
        <v>18</v>
      </c>
    </row>
    <row r="24" customFormat="false" ht="15" hidden="false" customHeight="false" outlineLevel="0" collapsed="false">
      <c r="B24" s="11" t="s">
        <v>19</v>
      </c>
      <c r="C24" s="11" t="s">
        <v>20</v>
      </c>
      <c r="D24" s="11" t="s">
        <v>21</v>
      </c>
      <c r="E24" s="11" t="s">
        <v>22</v>
      </c>
    </row>
    <row r="25" customFormat="false" ht="23.85" hidden="false" customHeight="false" outlineLevel="0" collapsed="false">
      <c r="B25" s="12" t="s">
        <v>23</v>
      </c>
      <c r="C25" s="13" t="s">
        <v>24</v>
      </c>
      <c r="D25" s="14" t="s">
        <v>25</v>
      </c>
      <c r="E25" s="15" t="s">
        <v>26</v>
      </c>
    </row>
    <row r="26" customFormat="false" ht="23.85" hidden="false" customHeight="false" outlineLevel="0" collapsed="false">
      <c r="B26" s="12" t="s">
        <v>27</v>
      </c>
      <c r="C26" s="13" t="s">
        <v>24</v>
      </c>
      <c r="D26" s="14" t="s">
        <v>28</v>
      </c>
      <c r="E26" s="15" t="s">
        <v>29</v>
      </c>
    </row>
    <row r="27" customFormat="false" ht="15" hidden="false" customHeight="false" outlineLevel="0" collapsed="false">
      <c r="B27" s="12" t="s">
        <v>30</v>
      </c>
      <c r="C27" s="13" t="s">
        <v>24</v>
      </c>
      <c r="D27" s="14" t="s">
        <v>31</v>
      </c>
      <c r="E27" s="15" t="s">
        <v>32</v>
      </c>
    </row>
    <row r="28" customFormat="false" ht="15" hidden="false" customHeight="false" outlineLevel="0" collapsed="false">
      <c r="B28" s="12" t="s">
        <v>33</v>
      </c>
      <c r="C28" s="13" t="s">
        <v>24</v>
      </c>
      <c r="D28" s="14" t="s">
        <v>34</v>
      </c>
      <c r="E28" s="15" t="s">
        <v>35</v>
      </c>
    </row>
    <row r="29" customFormat="false" ht="15" hidden="false" customHeight="false" outlineLevel="0" collapsed="false">
      <c r="B29" s="12" t="s">
        <v>36</v>
      </c>
      <c r="C29" s="16" t="s">
        <v>37</v>
      </c>
      <c r="D29" s="14" t="s">
        <v>38</v>
      </c>
      <c r="E29" s="15" t="s">
        <v>39</v>
      </c>
    </row>
    <row r="30" customFormat="false" ht="15" hidden="false" customHeight="false" outlineLevel="0" collapsed="false">
      <c r="B30" s="12" t="s">
        <v>40</v>
      </c>
      <c r="C30" s="13" t="s">
        <v>24</v>
      </c>
      <c r="D30" s="14" t="s">
        <v>41</v>
      </c>
      <c r="E30" s="15" t="s">
        <v>42</v>
      </c>
    </row>
    <row r="31" customFormat="false" ht="15" hidden="false" customHeight="false" outlineLevel="0" collapsed="false">
      <c r="B31" s="12" t="s">
        <v>43</v>
      </c>
      <c r="C31" s="13" t="s">
        <v>24</v>
      </c>
      <c r="D31" s="14" t="s">
        <v>44</v>
      </c>
      <c r="E31" s="15" t="s">
        <v>45</v>
      </c>
    </row>
    <row r="32" customFormat="false" ht="15" hidden="false" customHeight="false" outlineLevel="0" collapsed="false">
      <c r="B32" s="12" t="s">
        <v>46</v>
      </c>
      <c r="C32" s="13" t="s">
        <v>24</v>
      </c>
      <c r="D32" s="14" t="s">
        <v>47</v>
      </c>
      <c r="E32" s="15" t="s">
        <v>48</v>
      </c>
    </row>
    <row r="33" customFormat="false" ht="15" hidden="false" customHeight="false" outlineLevel="0" collapsed="false">
      <c r="B33" s="12" t="s">
        <v>49</v>
      </c>
      <c r="C33" s="13" t="s">
        <v>24</v>
      </c>
      <c r="D33" s="14" t="s">
        <v>50</v>
      </c>
      <c r="E33" s="15" t="s">
        <v>51</v>
      </c>
    </row>
    <row r="34" customFormat="false" ht="15" hidden="false" customHeight="false" outlineLevel="0" collapsed="false">
      <c r="B34" s="12" t="s">
        <v>52</v>
      </c>
      <c r="C34" s="16" t="s">
        <v>37</v>
      </c>
      <c r="D34" s="14" t="s">
        <v>53</v>
      </c>
      <c r="E34" s="15" t="s">
        <v>54</v>
      </c>
    </row>
    <row r="35" customFormat="false" ht="15" hidden="false" customHeight="false" outlineLevel="0" collapsed="false">
      <c r="B35" s="12" t="s">
        <v>55</v>
      </c>
      <c r="C35" s="13" t="s">
        <v>24</v>
      </c>
      <c r="D35" s="14" t="s">
        <v>56</v>
      </c>
      <c r="E35" s="15" t="s">
        <v>57</v>
      </c>
    </row>
    <row r="36" customFormat="false" ht="15" hidden="false" customHeight="false" outlineLevel="0" collapsed="false">
      <c r="B36" s="12" t="s">
        <v>58</v>
      </c>
      <c r="C36" s="13" t="s">
        <v>24</v>
      </c>
      <c r="D36" s="14" t="s">
        <v>59</v>
      </c>
      <c r="E36" s="15" t="s">
        <v>60</v>
      </c>
    </row>
    <row r="37" customFormat="false" ht="15" hidden="false" customHeight="false" outlineLevel="0" collapsed="false">
      <c r="B37" s="12" t="s">
        <v>61</v>
      </c>
      <c r="C37" s="16" t="s">
        <v>37</v>
      </c>
      <c r="D37" s="14" t="s">
        <v>62</v>
      </c>
      <c r="E37" s="15"/>
    </row>
    <row r="38" customFormat="false" ht="15" hidden="false" customHeight="false" outlineLevel="0" collapsed="false">
      <c r="B38" s="12" t="s">
        <v>63</v>
      </c>
      <c r="C38" s="16" t="s">
        <v>37</v>
      </c>
      <c r="D38" s="14" t="s">
        <v>64</v>
      </c>
      <c r="E38" s="15"/>
    </row>
    <row r="39" customFormat="false" ht="15" hidden="false" customHeight="false" outlineLevel="0" collapsed="false">
      <c r="B39" s="12" t="s">
        <v>65</v>
      </c>
      <c r="C39" s="13" t="s">
        <v>24</v>
      </c>
      <c r="D39" s="14" t="s">
        <v>66</v>
      </c>
      <c r="E39" s="15" t="s">
        <v>67</v>
      </c>
    </row>
    <row r="40" customFormat="false" ht="15" hidden="false" customHeight="false" outlineLevel="0" collapsed="false">
      <c r="B40" s="12" t="s">
        <v>68</v>
      </c>
      <c r="C40" s="13" t="s">
        <v>24</v>
      </c>
      <c r="D40" s="14" t="s">
        <v>69</v>
      </c>
      <c r="E40" s="15" t="s">
        <v>70</v>
      </c>
    </row>
    <row r="41" customFormat="false" ht="15" hidden="false" customHeight="false" outlineLevel="0" collapsed="false">
      <c r="B41" s="12" t="s">
        <v>71</v>
      </c>
      <c r="C41" s="13" t="s">
        <v>24</v>
      </c>
      <c r="D41" s="14" t="s">
        <v>72</v>
      </c>
      <c r="E41" s="15" t="s">
        <v>73</v>
      </c>
    </row>
    <row r="42" customFormat="false" ht="15" hidden="false" customHeight="false" outlineLevel="0" collapsed="false">
      <c r="B42" s="12" t="s">
        <v>74</v>
      </c>
      <c r="C42" s="16" t="s">
        <v>37</v>
      </c>
      <c r="D42" s="14" t="s">
        <v>75</v>
      </c>
      <c r="E42" s="15" t="s">
        <v>76</v>
      </c>
    </row>
    <row r="43" customFormat="false" ht="23.85" hidden="false" customHeight="false" outlineLevel="0" collapsed="false">
      <c r="B43" s="12" t="s">
        <v>77</v>
      </c>
      <c r="C43" s="13" t="s">
        <v>24</v>
      </c>
      <c r="D43" s="14" t="s">
        <v>78</v>
      </c>
      <c r="E43" s="15" t="s">
        <v>79</v>
      </c>
    </row>
    <row r="44" customFormat="false" ht="15" hidden="false" customHeight="false" outlineLevel="0" collapsed="false">
      <c r="B44" s="12" t="s">
        <v>80</v>
      </c>
      <c r="C44" s="16" t="s">
        <v>37</v>
      </c>
      <c r="D44" s="14" t="s">
        <v>81</v>
      </c>
      <c r="E44" s="15"/>
    </row>
    <row r="45" customFormat="false" ht="15" hidden="false" customHeight="false" outlineLevel="0" collapsed="false">
      <c r="B45" s="12" t="s">
        <v>82</v>
      </c>
      <c r="C45" s="13" t="s">
        <v>24</v>
      </c>
      <c r="D45" s="14" t="s">
        <v>83</v>
      </c>
      <c r="E45" s="15"/>
    </row>
    <row r="46" customFormat="false" ht="15" hidden="false" customHeight="false" outlineLevel="0" collapsed="false">
      <c r="B46" s="12" t="s">
        <v>84</v>
      </c>
      <c r="C46" s="16" t="s">
        <v>37</v>
      </c>
      <c r="D46" s="14" t="s">
        <v>85</v>
      </c>
      <c r="E46" s="15"/>
    </row>
    <row r="47" customFormat="false" ht="15" hidden="false" customHeight="false" outlineLevel="0" collapsed="false">
      <c r="B47" s="12" t="s">
        <v>86</v>
      </c>
      <c r="C47" s="16" t="s">
        <v>37</v>
      </c>
      <c r="D47" s="14" t="s">
        <v>87</v>
      </c>
      <c r="E47" s="15"/>
    </row>
    <row r="48" customFormat="false" ht="15" hidden="false" customHeight="false" outlineLevel="0" collapsed="false">
      <c r="B48" s="12" t="s">
        <v>88</v>
      </c>
      <c r="C48" s="13" t="s">
        <v>24</v>
      </c>
      <c r="D48" s="14" t="s">
        <v>89</v>
      </c>
      <c r="E48" s="15" t="s">
        <v>90</v>
      </c>
    </row>
    <row r="49" customFormat="false" ht="15" hidden="false" customHeight="false" outlineLevel="0" collapsed="false">
      <c r="B49" s="12" t="s">
        <v>91</v>
      </c>
      <c r="C49" s="13" t="s">
        <v>24</v>
      </c>
      <c r="D49" s="14" t="s">
        <v>92</v>
      </c>
      <c r="E49" s="15" t="s">
        <v>93</v>
      </c>
    </row>
    <row r="50" customFormat="false" ht="23.85" hidden="false" customHeight="false" outlineLevel="0" collapsed="false">
      <c r="B50" s="12" t="s">
        <v>94</v>
      </c>
      <c r="C50" s="16" t="s">
        <v>37</v>
      </c>
      <c r="D50" s="14"/>
      <c r="E50" s="15" t="s">
        <v>95</v>
      </c>
    </row>
    <row r="51" customFormat="false" ht="15" hidden="false" customHeight="false" outlineLevel="0" collapsed="false">
      <c r="B51" s="12" t="s">
        <v>96</v>
      </c>
      <c r="C51" s="13" t="s">
        <v>24</v>
      </c>
      <c r="D51" s="14"/>
      <c r="E51" s="15" t="s">
        <v>97</v>
      </c>
    </row>
    <row r="52" customFormat="false" ht="15" hidden="false" customHeight="false" outlineLevel="0" collapsed="false">
      <c r="B52" s="12" t="s">
        <v>98</v>
      </c>
      <c r="C52" s="13" t="s">
        <v>24</v>
      </c>
      <c r="D52" s="14" t="s">
        <v>99</v>
      </c>
      <c r="E52" s="15"/>
    </row>
    <row r="53" customFormat="false" ht="23.85" hidden="false" customHeight="false" outlineLevel="0" collapsed="false">
      <c r="B53" s="12" t="s">
        <v>100</v>
      </c>
      <c r="C53" s="13" t="s">
        <v>24</v>
      </c>
      <c r="D53" s="14" t="s">
        <v>101</v>
      </c>
      <c r="E53" s="15" t="s">
        <v>102</v>
      </c>
    </row>
    <row r="54" customFormat="false" ht="15" hidden="false" customHeight="false" outlineLevel="0" collapsed="false">
      <c r="B54" s="12" t="s">
        <v>103</v>
      </c>
      <c r="C54" s="16" t="s">
        <v>37</v>
      </c>
      <c r="D54" s="14" t="s">
        <v>104</v>
      </c>
      <c r="E54" s="15" t="s">
        <v>105</v>
      </c>
    </row>
    <row r="55" customFormat="false" ht="15" hidden="false" customHeight="false" outlineLevel="0" collapsed="false">
      <c r="B55" s="12" t="s">
        <v>106</v>
      </c>
      <c r="C55" s="16" t="s">
        <v>37</v>
      </c>
      <c r="D55" s="14" t="s">
        <v>107</v>
      </c>
      <c r="E55" s="15" t="s">
        <v>108</v>
      </c>
    </row>
    <row r="56" customFormat="false" ht="15" hidden="false" customHeight="false" outlineLevel="0" collapsed="false">
      <c r="B56" s="12" t="s">
        <v>109</v>
      </c>
      <c r="C56" s="16" t="s">
        <v>37</v>
      </c>
      <c r="D56" s="14" t="s">
        <v>110</v>
      </c>
      <c r="E56" s="15" t="s">
        <v>24</v>
      </c>
    </row>
    <row r="57" customFormat="false" ht="15" hidden="false" customHeight="false" outlineLevel="0" collapsed="false">
      <c r="B57" s="12" t="s">
        <v>111</v>
      </c>
      <c r="C57" s="16" t="s">
        <v>37</v>
      </c>
      <c r="D57" s="14" t="s">
        <v>112</v>
      </c>
      <c r="E57" s="15" t="s">
        <v>113</v>
      </c>
    </row>
    <row r="58" customFormat="false" ht="15" hidden="false" customHeight="false" outlineLevel="0" collapsed="false">
      <c r="B58" s="12" t="s">
        <v>114</v>
      </c>
      <c r="C58" s="13" t="s">
        <v>24</v>
      </c>
      <c r="D58" s="14" t="s">
        <v>115</v>
      </c>
      <c r="E58" s="15" t="s">
        <v>116</v>
      </c>
    </row>
    <row r="59" customFormat="false" ht="15" hidden="false" customHeight="false" outlineLevel="0" collapsed="false">
      <c r="B59" s="12" t="s">
        <v>117</v>
      </c>
      <c r="C59" s="16" t="s">
        <v>37</v>
      </c>
      <c r="D59" s="14" t="s">
        <v>118</v>
      </c>
      <c r="E59" s="15"/>
    </row>
  </sheetData>
  <mergeCells count="9">
    <mergeCell ref="B6:E6"/>
    <mergeCell ref="B7:E7"/>
    <mergeCell ref="B8:E8"/>
    <mergeCell ref="B9:E9"/>
    <mergeCell ref="B10:E10"/>
    <mergeCell ref="B11:E11"/>
    <mergeCell ref="B12:E12"/>
    <mergeCell ref="B13:E13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8" min="17" style="0" width="9"/>
    <col collapsed="false" customWidth="true" hidden="false" outlineLevel="0" max="19" min="19" style="0" width="40"/>
    <col collapsed="false" customWidth="true" hidden="false" outlineLevel="0" max="20" min="20" style="0" width="50"/>
    <col collapsed="false" customWidth="true" hidden="false" outlineLevel="0" max="22" min="21" style="0" width="34"/>
    <col collapsed="false" customWidth="true" hidden="false" outlineLevel="0" max="23" min="23" style="0" width="22"/>
    <col collapsed="false" customWidth="true" hidden="false" outlineLevel="0" max="25" min="24" style="0" width="9"/>
    <col collapsed="false" customWidth="true" hidden="false" outlineLevel="0" max="26" min="26" style="0" width="26"/>
    <col collapsed="false" customWidth="true" hidden="false" outlineLevel="0" max="27" min="27" style="0" width="11"/>
    <col collapsed="false" customWidth="true" hidden="false" outlineLevel="0" max="28" min="28" style="0" width="16"/>
    <col collapsed="false" customWidth="true" hidden="false" outlineLevel="0" max="29" min="29" style="0" width="20"/>
    <col collapsed="false" customWidth="true" hidden="false" outlineLevel="0" max="30" min="30" style="0" width="26"/>
    <col collapsed="false" customWidth="true" hidden="false" outlineLevel="0" max="31" min="31" style="0" width="24"/>
    <col collapsed="false" customWidth="true" hidden="false" outlineLevel="0" max="33" min="32" style="0" width="10"/>
    <col collapsed="false" customWidth="true" hidden="false" outlineLevel="0" max="34" min="34" style="0" width="11"/>
    <col collapsed="false" customWidth="true" hidden="false" outlineLevel="0" max="35" min="35" style="0" width="28"/>
  </cols>
  <sheetData>
    <row r="1" customFormat="false" ht="15" hidden="false" customHeight="false" outlineLevel="0" collapsed="false">
      <c r="A1" s="17" t="s">
        <v>119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customFormat="false" ht="42" hidden="false" customHeight="true" outlineLevel="0" collapsed="false">
      <c r="A2" s="11" t="s">
        <v>120</v>
      </c>
      <c r="B2" s="11" t="s">
        <v>121</v>
      </c>
      <c r="C2" s="11" t="s">
        <v>122</v>
      </c>
      <c r="D2" s="11" t="s">
        <v>123</v>
      </c>
      <c r="E2" s="18" t="s">
        <v>36</v>
      </c>
      <c r="F2" s="11" t="s">
        <v>124</v>
      </c>
      <c r="G2" s="11" t="s">
        <v>125</v>
      </c>
      <c r="H2" s="11" t="s">
        <v>126</v>
      </c>
      <c r="I2" s="11" t="s">
        <v>127</v>
      </c>
      <c r="J2" s="18" t="s">
        <v>52</v>
      </c>
      <c r="K2" s="11" t="s">
        <v>128</v>
      </c>
      <c r="L2" s="11" t="s">
        <v>129</v>
      </c>
      <c r="M2" s="18" t="s">
        <v>61</v>
      </c>
      <c r="N2" s="18" t="s">
        <v>63</v>
      </c>
      <c r="O2" s="11" t="s">
        <v>130</v>
      </c>
      <c r="P2" s="11" t="s">
        <v>131</v>
      </c>
      <c r="Q2" s="11" t="s">
        <v>132</v>
      </c>
      <c r="R2" s="18" t="s">
        <v>74</v>
      </c>
      <c r="S2" s="11" t="s">
        <v>133</v>
      </c>
      <c r="T2" s="18" t="s">
        <v>80</v>
      </c>
      <c r="U2" s="11" t="s">
        <v>134</v>
      </c>
      <c r="V2" s="18" t="s">
        <v>84</v>
      </c>
      <c r="W2" s="18" t="s">
        <v>86</v>
      </c>
      <c r="X2" s="11" t="s">
        <v>135</v>
      </c>
      <c r="Y2" s="11" t="s">
        <v>136</v>
      </c>
      <c r="Z2" s="18" t="s">
        <v>94</v>
      </c>
      <c r="AA2" s="11" t="s">
        <v>137</v>
      </c>
      <c r="AB2" s="11" t="s">
        <v>138</v>
      </c>
      <c r="AC2" s="11" t="s">
        <v>139</v>
      </c>
      <c r="AD2" s="18" t="s">
        <v>103</v>
      </c>
      <c r="AE2" s="18" t="s">
        <v>106</v>
      </c>
      <c r="AF2" s="18" t="s">
        <v>109</v>
      </c>
      <c r="AG2" s="18" t="s">
        <v>111</v>
      </c>
      <c r="AH2" s="11" t="s">
        <v>140</v>
      </c>
      <c r="AI2" s="18" t="s">
        <v>117</v>
      </c>
    </row>
    <row r="3" customFormat="false" ht="35.05" hidden="false" customHeight="false" outlineLevel="0" collapsed="false">
      <c r="A3" s="19" t="s">
        <v>26</v>
      </c>
      <c r="B3" s="19" t="s">
        <v>29</v>
      </c>
      <c r="C3" s="19" t="s">
        <v>32</v>
      </c>
      <c r="D3" s="19" t="s">
        <v>35</v>
      </c>
      <c r="E3" s="19" t="s">
        <v>39</v>
      </c>
      <c r="F3" s="19" t="s">
        <v>42</v>
      </c>
      <c r="G3" s="19" t="n">
        <v>100</v>
      </c>
      <c r="H3" s="19" t="s">
        <v>48</v>
      </c>
      <c r="I3" s="20" t="n">
        <v>0.13</v>
      </c>
      <c r="J3" s="19" t="s">
        <v>54</v>
      </c>
      <c r="K3" s="21" t="n">
        <v>99</v>
      </c>
      <c r="L3" s="21" t="n">
        <v>89</v>
      </c>
      <c r="M3" s="22" t="n">
        <f aca="false">IF(AND(ISNUMBER(K3),ISNUMBER(L3),K3&gt;0),(K3-L3)/K3,"")</f>
        <v>0.101010101010101</v>
      </c>
      <c r="N3" s="23" t="n">
        <f aca="false">IF(AND(ISNUMBER(L3),ISNUMBER(G3),G3&gt;0),IF(OR(H3="g",H3="ml"),L3/G3*1000,IF(OR(H3="kg",H3="L"),L3/G3,"")),"")</f>
        <v>890</v>
      </c>
      <c r="O3" s="24" t="n">
        <v>0.12</v>
      </c>
      <c r="P3" s="25" t="s">
        <v>70</v>
      </c>
      <c r="Q3" s="19" t="n">
        <v>120</v>
      </c>
      <c r="R3" s="19" t="n">
        <v>20</v>
      </c>
      <c r="S3" s="26" t="s">
        <v>79</v>
      </c>
      <c r="T3" s="26" t="s">
        <v>141</v>
      </c>
      <c r="U3" s="26" t="s">
        <v>142</v>
      </c>
      <c r="V3" s="26" t="s">
        <v>143</v>
      </c>
      <c r="W3" s="19" t="s">
        <v>144</v>
      </c>
      <c r="X3" s="19" t="s">
        <v>90</v>
      </c>
      <c r="Y3" s="19" t="n">
        <v>6</v>
      </c>
      <c r="Z3" s="19" t="s">
        <v>95</v>
      </c>
      <c r="AA3" s="19" t="s">
        <v>97</v>
      </c>
      <c r="AB3" s="19" t="s">
        <v>145</v>
      </c>
      <c r="AC3" s="19" t="s">
        <v>102</v>
      </c>
      <c r="AD3" s="19" t="s">
        <v>105</v>
      </c>
      <c r="AE3" s="19" t="s">
        <v>108</v>
      </c>
      <c r="AF3" s="19" t="s">
        <v>24</v>
      </c>
      <c r="AG3" s="19" t="s">
        <v>113</v>
      </c>
      <c r="AH3" s="19" t="s">
        <v>116</v>
      </c>
      <c r="AI3" s="26"/>
    </row>
    <row r="4" customFormat="false" ht="23.85" hidden="false" customHeight="false" outlineLevel="0" collapsed="false">
      <c r="A4" s="19" t="s">
        <v>146</v>
      </c>
      <c r="B4" s="19" t="s">
        <v>29</v>
      </c>
      <c r="C4" s="19" t="s">
        <v>32</v>
      </c>
      <c r="D4" s="19" t="s">
        <v>35</v>
      </c>
      <c r="E4" s="19" t="s">
        <v>39</v>
      </c>
      <c r="F4" s="19" t="s">
        <v>147</v>
      </c>
      <c r="G4" s="19" t="n">
        <v>200</v>
      </c>
      <c r="H4" s="19" t="s">
        <v>48</v>
      </c>
      <c r="I4" s="20" t="n">
        <v>0.24</v>
      </c>
      <c r="J4" s="19" t="s">
        <v>148</v>
      </c>
      <c r="K4" s="21" t="n">
        <v>179</v>
      </c>
      <c r="L4" s="21" t="n">
        <v>159</v>
      </c>
      <c r="M4" s="22" t="n">
        <f aca="false">IF(AND(ISNUMBER(K4),ISNUMBER(L4),K4&gt;0),(K4-L4)/K4,"")</f>
        <v>0.111731843575419</v>
      </c>
      <c r="N4" s="23" t="n">
        <f aca="false">IF(AND(ISNUMBER(L4),ISNUMBER(G4),G4&gt;0),IF(OR(H4="g",H4="ml"),L4/G4*1000,IF(OR(H4="kg",H4="L"),L4/G4,"")),"")</f>
        <v>795</v>
      </c>
      <c r="O4" s="24" t="n">
        <v>0.12</v>
      </c>
      <c r="P4" s="25" t="s">
        <v>70</v>
      </c>
      <c r="Q4" s="19" t="n">
        <v>80</v>
      </c>
      <c r="R4" s="19" t="n">
        <v>15</v>
      </c>
      <c r="S4" s="26" t="s">
        <v>149</v>
      </c>
      <c r="T4" s="26"/>
      <c r="U4" s="26" t="s">
        <v>142</v>
      </c>
      <c r="V4" s="26" t="s">
        <v>143</v>
      </c>
      <c r="W4" s="19" t="s">
        <v>144</v>
      </c>
      <c r="X4" s="19" t="s">
        <v>90</v>
      </c>
      <c r="Y4" s="19" t="n">
        <v>6</v>
      </c>
      <c r="Z4" s="19" t="s">
        <v>95</v>
      </c>
      <c r="AA4" s="19" t="s">
        <v>97</v>
      </c>
      <c r="AB4" s="19"/>
      <c r="AC4" s="19" t="s">
        <v>150</v>
      </c>
      <c r="AD4" s="19"/>
      <c r="AE4" s="19" t="s">
        <v>151</v>
      </c>
      <c r="AF4" s="19" t="s">
        <v>113</v>
      </c>
      <c r="AG4" s="19" t="s">
        <v>113</v>
      </c>
      <c r="AH4" s="19" t="s">
        <v>116</v>
      </c>
      <c r="AI4" s="26" t="s">
        <v>152</v>
      </c>
    </row>
    <row r="5" customFormat="false" ht="23.85" hidden="false" customHeight="false" outlineLevel="0" collapsed="false">
      <c r="A5" s="19" t="s">
        <v>153</v>
      </c>
      <c r="B5" s="19" t="s">
        <v>29</v>
      </c>
      <c r="C5" s="19" t="s">
        <v>32</v>
      </c>
      <c r="D5" s="19" t="s">
        <v>35</v>
      </c>
      <c r="E5" s="19" t="s">
        <v>154</v>
      </c>
      <c r="F5" s="19" t="s">
        <v>42</v>
      </c>
      <c r="G5" s="19" t="n">
        <v>100</v>
      </c>
      <c r="H5" s="19" t="s">
        <v>48</v>
      </c>
      <c r="I5" s="20" t="n">
        <v>0.13</v>
      </c>
      <c r="J5" s="19" t="s">
        <v>54</v>
      </c>
      <c r="K5" s="21" t="n">
        <v>99</v>
      </c>
      <c r="L5" s="21" t="n">
        <v>89</v>
      </c>
      <c r="M5" s="22" t="n">
        <f aca="false">IF(AND(ISNUMBER(K5),ISNUMBER(L5),K5&gt;0),(K5-L5)/K5,"")</f>
        <v>0.101010101010101</v>
      </c>
      <c r="N5" s="23" t="n">
        <f aca="false">IF(AND(ISNUMBER(L5),ISNUMBER(G5),G5&gt;0),IF(OR(H5="g",H5="ml"),L5/G5*1000,IF(OR(H5="kg",H5="L"),L5/G5,"")),"")</f>
        <v>890</v>
      </c>
      <c r="O5" s="24" t="n">
        <v>0.12</v>
      </c>
      <c r="P5" s="25" t="s">
        <v>70</v>
      </c>
      <c r="Q5" s="19" t="n">
        <v>100</v>
      </c>
      <c r="R5" s="19" t="n">
        <v>20</v>
      </c>
      <c r="S5" s="26" t="s">
        <v>155</v>
      </c>
      <c r="T5" s="26"/>
      <c r="U5" s="26" t="s">
        <v>156</v>
      </c>
      <c r="V5" s="26" t="s">
        <v>143</v>
      </c>
      <c r="W5" s="19" t="s">
        <v>144</v>
      </c>
      <c r="X5" s="19" t="s">
        <v>90</v>
      </c>
      <c r="Y5" s="19" t="n">
        <v>6</v>
      </c>
      <c r="Z5" s="19" t="s">
        <v>157</v>
      </c>
      <c r="AA5" s="19" t="s">
        <v>97</v>
      </c>
      <c r="AB5" s="19"/>
      <c r="AC5" s="19" t="s">
        <v>158</v>
      </c>
      <c r="AD5" s="19"/>
      <c r="AE5" s="19" t="s">
        <v>159</v>
      </c>
      <c r="AF5" s="19" t="s">
        <v>113</v>
      </c>
      <c r="AG5" s="19" t="s">
        <v>24</v>
      </c>
      <c r="AH5" s="19" t="s">
        <v>116</v>
      </c>
      <c r="AI5" s="26" t="s">
        <v>160</v>
      </c>
    </row>
    <row r="6" customFormat="false" ht="23.85" hidden="false" customHeight="false" outlineLevel="0" collapsed="false">
      <c r="A6" s="19" t="s">
        <v>161</v>
      </c>
      <c r="B6" s="19" t="s">
        <v>162</v>
      </c>
      <c r="C6" s="19" t="s">
        <v>32</v>
      </c>
      <c r="D6" s="19" t="s">
        <v>163</v>
      </c>
      <c r="E6" s="19" t="s">
        <v>164</v>
      </c>
      <c r="F6" s="19" t="s">
        <v>42</v>
      </c>
      <c r="G6" s="19" t="n">
        <v>100</v>
      </c>
      <c r="H6" s="19" t="s">
        <v>48</v>
      </c>
      <c r="I6" s="20" t="n">
        <v>0.13</v>
      </c>
      <c r="J6" s="19" t="s">
        <v>54</v>
      </c>
      <c r="K6" s="21" t="n">
        <v>99</v>
      </c>
      <c r="L6" s="21" t="n">
        <v>85</v>
      </c>
      <c r="M6" s="22" t="n">
        <f aca="false">IF(AND(ISNUMBER(K6),ISNUMBER(L6),K6&gt;0),(K6-L6)/K6,"")</f>
        <v>0.141414141414141</v>
      </c>
      <c r="N6" s="23" t="n">
        <f aca="false">IF(AND(ISNUMBER(L6),ISNUMBER(G6),G6&gt;0),IF(OR(H6="g",H6="ml"),L6/G6*1000,IF(OR(H6="kg",H6="L"),L6/G6,"")),"")</f>
        <v>850</v>
      </c>
      <c r="O6" s="24" t="n">
        <v>0.12</v>
      </c>
      <c r="P6" s="25" t="s">
        <v>70</v>
      </c>
      <c r="Q6" s="19" t="n">
        <v>110</v>
      </c>
      <c r="R6" s="19" t="n">
        <v>20</v>
      </c>
      <c r="S6" s="26" t="s">
        <v>165</v>
      </c>
      <c r="T6" s="26"/>
      <c r="U6" s="26" t="s">
        <v>166</v>
      </c>
      <c r="V6" s="26" t="s">
        <v>167</v>
      </c>
      <c r="W6" s="19"/>
      <c r="X6" s="19" t="s">
        <v>90</v>
      </c>
      <c r="Y6" s="19" t="n">
        <v>6</v>
      </c>
      <c r="Z6" s="19" t="s">
        <v>157</v>
      </c>
      <c r="AA6" s="19" t="s">
        <v>97</v>
      </c>
      <c r="AB6" s="19"/>
      <c r="AC6" s="19" t="s">
        <v>168</v>
      </c>
      <c r="AD6" s="19"/>
      <c r="AE6" s="19" t="s">
        <v>169</v>
      </c>
      <c r="AF6" s="19" t="s">
        <v>24</v>
      </c>
      <c r="AG6" s="19" t="s">
        <v>113</v>
      </c>
      <c r="AH6" s="19" t="s">
        <v>116</v>
      </c>
      <c r="AI6" s="26"/>
    </row>
    <row r="7" customFormat="false" ht="23.85" hidden="false" customHeight="false" outlineLevel="0" collapsed="false">
      <c r="A7" s="19" t="s">
        <v>170</v>
      </c>
      <c r="B7" s="19" t="s">
        <v>171</v>
      </c>
      <c r="C7" s="19" t="s">
        <v>172</v>
      </c>
      <c r="D7" s="19" t="s">
        <v>173</v>
      </c>
      <c r="E7" s="19" t="s">
        <v>174</v>
      </c>
      <c r="F7" s="19" t="s">
        <v>42</v>
      </c>
      <c r="G7" s="19" t="n">
        <v>100</v>
      </c>
      <c r="H7" s="19" t="s">
        <v>48</v>
      </c>
      <c r="I7" s="20" t="n">
        <v>0.15</v>
      </c>
      <c r="J7" s="19" t="s">
        <v>175</v>
      </c>
      <c r="K7" s="21" t="n">
        <v>179</v>
      </c>
      <c r="L7" s="21" t="n">
        <v>159</v>
      </c>
      <c r="M7" s="22" t="n">
        <f aca="false">IF(AND(ISNUMBER(K7),ISNUMBER(L7),K7&gt;0),(K7-L7)/K7,"")</f>
        <v>0.111731843575419</v>
      </c>
      <c r="N7" s="23" t="n">
        <f aca="false">IF(AND(ISNUMBER(L7),ISNUMBER(G7),G7&gt;0),IF(OR(H7="g",H7="ml"),L7/G7*1000,IF(OR(H7="kg",H7="L"),L7/G7,"")),"")</f>
        <v>1590</v>
      </c>
      <c r="O7" s="24" t="n">
        <v>0.05</v>
      </c>
      <c r="P7" s="25" t="s">
        <v>176</v>
      </c>
      <c r="Q7" s="19" t="n">
        <v>150</v>
      </c>
      <c r="R7" s="19" t="n">
        <v>25</v>
      </c>
      <c r="S7" s="26" t="s">
        <v>177</v>
      </c>
      <c r="T7" s="26" t="s">
        <v>178</v>
      </c>
      <c r="U7" s="26" t="s">
        <v>179</v>
      </c>
      <c r="V7" s="26" t="s">
        <v>180</v>
      </c>
      <c r="W7" s="19"/>
      <c r="X7" s="19" t="s">
        <v>90</v>
      </c>
      <c r="Y7" s="19" t="n">
        <v>9</v>
      </c>
      <c r="Z7" s="19" t="s">
        <v>181</v>
      </c>
      <c r="AA7" s="19" t="s">
        <v>97</v>
      </c>
      <c r="AB7" s="19"/>
      <c r="AC7" s="19" t="s">
        <v>182</v>
      </c>
      <c r="AD7" s="19"/>
      <c r="AE7" s="19" t="s">
        <v>183</v>
      </c>
      <c r="AF7" s="19" t="s">
        <v>24</v>
      </c>
      <c r="AG7" s="19" t="s">
        <v>113</v>
      </c>
      <c r="AH7" s="19" t="s">
        <v>116</v>
      </c>
      <c r="AI7" s="26"/>
    </row>
    <row r="8" customFormat="false" ht="23.85" hidden="false" customHeight="false" outlineLevel="0" collapsed="false">
      <c r="A8" s="19" t="s">
        <v>184</v>
      </c>
      <c r="B8" s="19" t="s">
        <v>171</v>
      </c>
      <c r="C8" s="19" t="s">
        <v>172</v>
      </c>
      <c r="D8" s="19" t="s">
        <v>173</v>
      </c>
      <c r="E8" s="19" t="s">
        <v>174</v>
      </c>
      <c r="F8" s="19" t="s">
        <v>185</v>
      </c>
      <c r="G8" s="19" t="n">
        <v>250</v>
      </c>
      <c r="H8" s="19" t="s">
        <v>48</v>
      </c>
      <c r="I8" s="20" t="n">
        <v>0.32</v>
      </c>
      <c r="J8" s="19" t="s">
        <v>186</v>
      </c>
      <c r="K8" s="21" t="n">
        <v>399</v>
      </c>
      <c r="L8" s="21" t="n">
        <v>349</v>
      </c>
      <c r="M8" s="22" t="n">
        <f aca="false">IF(AND(ISNUMBER(K8),ISNUMBER(L8),K8&gt;0),(K8-L8)/K8,"")</f>
        <v>0.12531328320802</v>
      </c>
      <c r="N8" s="23" t="n">
        <f aca="false">IF(AND(ISNUMBER(L8),ISNUMBER(G8),G8&gt;0),IF(OR(H8="g",H8="ml"),L8/G8*1000,IF(OR(H8="kg",H8="L"),L8/G8,"")),"")</f>
        <v>1396</v>
      </c>
      <c r="O8" s="24" t="n">
        <v>0.05</v>
      </c>
      <c r="P8" s="25" t="s">
        <v>176</v>
      </c>
      <c r="Q8" s="19" t="n">
        <v>90</v>
      </c>
      <c r="R8" s="19" t="n">
        <v>15</v>
      </c>
      <c r="S8" s="26" t="s">
        <v>187</v>
      </c>
      <c r="T8" s="26"/>
      <c r="U8" s="26" t="s">
        <v>179</v>
      </c>
      <c r="V8" s="26" t="s">
        <v>180</v>
      </c>
      <c r="W8" s="19"/>
      <c r="X8" s="19" t="s">
        <v>90</v>
      </c>
      <c r="Y8" s="19" t="n">
        <v>9</v>
      </c>
      <c r="Z8" s="19" t="s">
        <v>181</v>
      </c>
      <c r="AA8" s="19" t="s">
        <v>97</v>
      </c>
      <c r="AB8" s="19"/>
      <c r="AC8" s="19" t="s">
        <v>188</v>
      </c>
      <c r="AD8" s="19"/>
      <c r="AE8" s="19" t="s">
        <v>189</v>
      </c>
      <c r="AF8" s="19" t="s">
        <v>113</v>
      </c>
      <c r="AG8" s="19" t="s">
        <v>24</v>
      </c>
      <c r="AH8" s="19" t="s">
        <v>116</v>
      </c>
      <c r="AI8" s="26"/>
    </row>
    <row r="9" customFormat="false" ht="23.85" hidden="false" customHeight="false" outlineLevel="0" collapsed="false">
      <c r="A9" s="19" t="s">
        <v>190</v>
      </c>
      <c r="B9" s="19" t="s">
        <v>191</v>
      </c>
      <c r="C9" s="19" t="s">
        <v>172</v>
      </c>
      <c r="D9" s="19" t="s">
        <v>192</v>
      </c>
      <c r="E9" s="19"/>
      <c r="F9" s="19" t="s">
        <v>193</v>
      </c>
      <c r="G9" s="19" t="n">
        <v>80</v>
      </c>
      <c r="H9" s="19" t="s">
        <v>48</v>
      </c>
      <c r="I9" s="20" t="n">
        <v>0.12</v>
      </c>
      <c r="J9" s="19" t="s">
        <v>194</v>
      </c>
      <c r="K9" s="21" t="n">
        <v>149</v>
      </c>
      <c r="L9" s="21" t="n">
        <v>129</v>
      </c>
      <c r="M9" s="22" t="n">
        <f aca="false">IF(AND(ISNUMBER(K9),ISNUMBER(L9),K9&gt;0),(K9-L9)/K9,"")</f>
        <v>0.134228187919463</v>
      </c>
      <c r="N9" s="23" t="n">
        <f aca="false">IF(AND(ISNUMBER(L9),ISNUMBER(G9),G9&gt;0),IF(OR(H9="g",H9="ml"),L9/G9*1000,IF(OR(H9="kg",H9="L"),L9/G9,"")),"")</f>
        <v>1612.5</v>
      </c>
      <c r="O9" s="24" t="n">
        <v>0.12</v>
      </c>
      <c r="P9" s="25" t="s">
        <v>195</v>
      </c>
      <c r="Q9" s="19" t="n">
        <v>140</v>
      </c>
      <c r="R9" s="19" t="n">
        <v>20</v>
      </c>
      <c r="S9" s="26" t="s">
        <v>196</v>
      </c>
      <c r="T9" s="26"/>
      <c r="U9" s="26" t="s">
        <v>197</v>
      </c>
      <c r="V9" s="26" t="s">
        <v>198</v>
      </c>
      <c r="W9" s="19"/>
      <c r="X9" s="19" t="s">
        <v>90</v>
      </c>
      <c r="Y9" s="19" t="n">
        <v>6</v>
      </c>
      <c r="Z9" s="19" t="s">
        <v>199</v>
      </c>
      <c r="AA9" s="19" t="s">
        <v>97</v>
      </c>
      <c r="AB9" s="19"/>
      <c r="AC9" s="19" t="s">
        <v>200</v>
      </c>
      <c r="AD9" s="19"/>
      <c r="AE9" s="19" t="s">
        <v>201</v>
      </c>
      <c r="AF9" s="19" t="s">
        <v>24</v>
      </c>
      <c r="AG9" s="19" t="s">
        <v>113</v>
      </c>
      <c r="AH9" s="19" t="s">
        <v>116</v>
      </c>
      <c r="AI9" s="26"/>
    </row>
    <row r="10" customFormat="false" ht="23.85" hidden="false" customHeight="false" outlineLevel="0" collapsed="false">
      <c r="A10" s="19" t="s">
        <v>202</v>
      </c>
      <c r="B10" s="19" t="s">
        <v>203</v>
      </c>
      <c r="C10" s="19" t="s">
        <v>204</v>
      </c>
      <c r="D10" s="19" t="s">
        <v>173</v>
      </c>
      <c r="E10" s="19"/>
      <c r="F10" s="19" t="s">
        <v>185</v>
      </c>
      <c r="G10" s="19" t="n">
        <v>250</v>
      </c>
      <c r="H10" s="19" t="s">
        <v>48</v>
      </c>
      <c r="I10" s="20" t="n">
        <v>0.29</v>
      </c>
      <c r="J10" s="19" t="s">
        <v>205</v>
      </c>
      <c r="K10" s="21" t="n">
        <v>349</v>
      </c>
      <c r="L10" s="21" t="n">
        <v>319</v>
      </c>
      <c r="M10" s="22" t="n">
        <f aca="false">IF(AND(ISNUMBER(K10),ISNUMBER(L10),K10&gt;0),(K10-L10)/K10,"")</f>
        <v>0.0859598853868195</v>
      </c>
      <c r="N10" s="23" t="n">
        <f aca="false">IF(AND(ISNUMBER(L10),ISNUMBER(G10),G10&gt;0),IF(OR(H10="g",H10="ml"),L10/G10*1000,IF(OR(H10="kg",H10="L"),L10/G10,"")),"")</f>
        <v>1276</v>
      </c>
      <c r="O10" s="24" t="n">
        <v>0.12</v>
      </c>
      <c r="P10" s="25" t="s">
        <v>206</v>
      </c>
      <c r="Q10" s="19" t="n">
        <v>100</v>
      </c>
      <c r="R10" s="19" t="n">
        <v>20</v>
      </c>
      <c r="S10" s="26" t="s">
        <v>207</v>
      </c>
      <c r="T10" s="26" t="s">
        <v>208</v>
      </c>
      <c r="U10" s="26" t="s">
        <v>209</v>
      </c>
      <c r="V10" s="26" t="s">
        <v>210</v>
      </c>
      <c r="W10" s="19" t="s">
        <v>211</v>
      </c>
      <c r="X10" s="19" t="s">
        <v>90</v>
      </c>
      <c r="Y10" s="19" t="n">
        <v>9</v>
      </c>
      <c r="Z10" s="19" t="s">
        <v>212</v>
      </c>
      <c r="AA10" s="19" t="s">
        <v>213</v>
      </c>
      <c r="AB10" s="19"/>
      <c r="AC10" s="19" t="s">
        <v>214</v>
      </c>
      <c r="AD10" s="19"/>
      <c r="AE10" s="19" t="s">
        <v>215</v>
      </c>
      <c r="AF10" s="19" t="s">
        <v>113</v>
      </c>
      <c r="AG10" s="19" t="s">
        <v>113</v>
      </c>
      <c r="AH10" s="19" t="s">
        <v>116</v>
      </c>
      <c r="AI10" s="26" t="s">
        <v>216</v>
      </c>
    </row>
    <row r="11" customFormat="false" ht="23.85" hidden="false" customHeight="false" outlineLevel="0" collapsed="false">
      <c r="A11" s="19" t="s">
        <v>217</v>
      </c>
      <c r="B11" s="19" t="s">
        <v>203</v>
      </c>
      <c r="C11" s="19" t="s">
        <v>204</v>
      </c>
      <c r="D11" s="19" t="s">
        <v>173</v>
      </c>
      <c r="E11" s="19"/>
      <c r="F11" s="19" t="s">
        <v>218</v>
      </c>
      <c r="G11" s="19" t="n">
        <v>500</v>
      </c>
      <c r="H11" s="19" t="s">
        <v>48</v>
      </c>
      <c r="I11" s="20" t="n">
        <v>0.55</v>
      </c>
      <c r="J11" s="19" t="s">
        <v>148</v>
      </c>
      <c r="K11" s="21" t="n">
        <v>649</v>
      </c>
      <c r="L11" s="21" t="n">
        <v>579</v>
      </c>
      <c r="M11" s="22" t="n">
        <f aca="false">IF(AND(ISNUMBER(K11),ISNUMBER(L11),K11&gt;0),(K11-L11)/K11,"")</f>
        <v>0.107858243451464</v>
      </c>
      <c r="N11" s="23" t="n">
        <f aca="false">IF(AND(ISNUMBER(L11),ISNUMBER(G11),G11&gt;0),IF(OR(H11="g",H11="ml"),L11/G11*1000,IF(OR(H11="kg",H11="L"),L11/G11,"")),"")</f>
        <v>1158</v>
      </c>
      <c r="O11" s="24" t="n">
        <v>0.12</v>
      </c>
      <c r="P11" s="25" t="s">
        <v>206</v>
      </c>
      <c r="Q11" s="19" t="n">
        <v>90</v>
      </c>
      <c r="R11" s="19" t="n">
        <v>15</v>
      </c>
      <c r="S11" s="26" t="s">
        <v>207</v>
      </c>
      <c r="T11" s="26"/>
      <c r="U11" s="26" t="s">
        <v>209</v>
      </c>
      <c r="V11" s="26" t="s">
        <v>210</v>
      </c>
      <c r="W11" s="19" t="s">
        <v>211</v>
      </c>
      <c r="X11" s="19" t="s">
        <v>90</v>
      </c>
      <c r="Y11" s="19" t="n">
        <v>9</v>
      </c>
      <c r="Z11" s="19" t="s">
        <v>212</v>
      </c>
      <c r="AA11" s="19" t="s">
        <v>213</v>
      </c>
      <c r="AB11" s="19"/>
      <c r="AC11" s="19" t="s">
        <v>219</v>
      </c>
      <c r="AD11" s="19"/>
      <c r="AE11" s="19" t="s">
        <v>220</v>
      </c>
      <c r="AF11" s="19" t="s">
        <v>24</v>
      </c>
      <c r="AG11" s="19" t="s">
        <v>24</v>
      </c>
      <c r="AH11" s="19" t="s">
        <v>116</v>
      </c>
      <c r="AI11" s="26"/>
    </row>
    <row r="12" customFormat="false" ht="23.85" hidden="false" customHeight="false" outlineLevel="0" collapsed="false">
      <c r="A12" s="19" t="s">
        <v>221</v>
      </c>
      <c r="B12" s="19" t="s">
        <v>203</v>
      </c>
      <c r="C12" s="19" t="s">
        <v>204</v>
      </c>
      <c r="D12" s="19" t="s">
        <v>173</v>
      </c>
      <c r="E12" s="19"/>
      <c r="F12" s="19" t="s">
        <v>222</v>
      </c>
      <c r="G12" s="19" t="n">
        <v>1</v>
      </c>
      <c r="H12" s="19" t="s">
        <v>223</v>
      </c>
      <c r="I12" s="20" t="n">
        <v>1.08</v>
      </c>
      <c r="J12" s="19" t="s">
        <v>224</v>
      </c>
      <c r="K12" s="21" t="n">
        <v>1249</v>
      </c>
      <c r="L12" s="21" t="n">
        <v>1099</v>
      </c>
      <c r="M12" s="22" t="n">
        <f aca="false">IF(AND(ISNUMBER(K12),ISNUMBER(L12),K12&gt;0),(K12-L12)/K12,"")</f>
        <v>0.120096076861489</v>
      </c>
      <c r="N12" s="23" t="n">
        <f aca="false">IF(AND(ISNUMBER(L12),ISNUMBER(G12),G12&gt;0),IF(OR(H12="g",H12="ml"),L12/G12*1000,IF(OR(H12="kg",H12="L"),L12/G12,"")),"")</f>
        <v>1099</v>
      </c>
      <c r="O12" s="24" t="n">
        <v>0.12</v>
      </c>
      <c r="P12" s="25" t="s">
        <v>206</v>
      </c>
      <c r="Q12" s="19" t="n">
        <v>40</v>
      </c>
      <c r="R12" s="19" t="n">
        <v>10</v>
      </c>
      <c r="S12" s="26" t="s">
        <v>225</v>
      </c>
      <c r="T12" s="26"/>
      <c r="U12" s="26" t="s">
        <v>209</v>
      </c>
      <c r="V12" s="26" t="s">
        <v>210</v>
      </c>
      <c r="W12" s="19" t="s">
        <v>211</v>
      </c>
      <c r="X12" s="19" t="s">
        <v>90</v>
      </c>
      <c r="Y12" s="19" t="n">
        <v>9</v>
      </c>
      <c r="Z12" s="19" t="s">
        <v>212</v>
      </c>
      <c r="AA12" s="19" t="s">
        <v>213</v>
      </c>
      <c r="AB12" s="19"/>
      <c r="AC12" s="19" t="s">
        <v>226</v>
      </c>
      <c r="AD12" s="19"/>
      <c r="AE12" s="19" t="s">
        <v>227</v>
      </c>
      <c r="AF12" s="19" t="s">
        <v>113</v>
      </c>
      <c r="AG12" s="19" t="s">
        <v>113</v>
      </c>
      <c r="AH12" s="19" t="s">
        <v>116</v>
      </c>
      <c r="AI12" s="26"/>
    </row>
    <row r="13" customFormat="false" ht="35.05" hidden="false" customHeight="false" outlineLevel="0" collapsed="false">
      <c r="A13" s="19" t="s">
        <v>228</v>
      </c>
      <c r="B13" s="19" t="s">
        <v>229</v>
      </c>
      <c r="C13" s="19" t="s">
        <v>230</v>
      </c>
      <c r="D13" s="19" t="s">
        <v>192</v>
      </c>
      <c r="E13" s="19"/>
      <c r="F13" s="19" t="s">
        <v>231</v>
      </c>
      <c r="G13" s="19" t="n">
        <v>1</v>
      </c>
      <c r="H13" s="19" t="s">
        <v>232</v>
      </c>
      <c r="I13" s="20" t="n">
        <v>1.4</v>
      </c>
      <c r="J13" s="19" t="s">
        <v>233</v>
      </c>
      <c r="K13" s="21" t="n">
        <v>1499</v>
      </c>
      <c r="L13" s="21" t="n">
        <v>1299</v>
      </c>
      <c r="M13" s="22" t="n">
        <f aca="false">IF(AND(ISNUMBER(K13),ISNUMBER(L13),K13&gt;0),(K13-L13)/K13,"")</f>
        <v>0.133422281521014</v>
      </c>
      <c r="N13" s="23" t="str">
        <f aca="false">IF(AND(ISNUMBER(L13),ISNUMBER(G13),G13&gt;0),IF(OR(H13="g",H13="ml"),L13/G13*1000,IF(OR(H13="kg",H13="L"),L13/G13,"")),"")</f>
        <v/>
      </c>
      <c r="O13" s="24" t="n">
        <v>0.12</v>
      </c>
      <c r="P13" s="25" t="s">
        <v>206</v>
      </c>
      <c r="Q13" s="19" t="n">
        <v>40</v>
      </c>
      <c r="R13" s="19" t="n">
        <v>10</v>
      </c>
      <c r="S13" s="26" t="s">
        <v>234</v>
      </c>
      <c r="T13" s="26" t="s">
        <v>235</v>
      </c>
      <c r="U13" s="26" t="s">
        <v>236</v>
      </c>
      <c r="V13" s="26"/>
      <c r="W13" s="19" t="s">
        <v>211</v>
      </c>
      <c r="X13" s="19" t="s">
        <v>90</v>
      </c>
      <c r="Y13" s="19" t="n">
        <v>6</v>
      </c>
      <c r="Z13" s="19" t="s">
        <v>157</v>
      </c>
      <c r="AA13" s="19" t="s">
        <v>97</v>
      </c>
      <c r="AB13" s="19"/>
      <c r="AC13" s="19" t="s">
        <v>237</v>
      </c>
      <c r="AD13" s="19" t="s">
        <v>238</v>
      </c>
      <c r="AE13" s="19" t="s">
        <v>239</v>
      </c>
      <c r="AF13" s="19" t="s">
        <v>24</v>
      </c>
      <c r="AG13" s="19" t="s">
        <v>24</v>
      </c>
      <c r="AH13" s="19" t="s">
        <v>116</v>
      </c>
      <c r="AI13" s="26" t="s">
        <v>240</v>
      </c>
    </row>
    <row r="14" customFormat="false" ht="23.85" hidden="false" customHeight="false" outlineLevel="0" collapsed="false">
      <c r="A14" s="19" t="s">
        <v>241</v>
      </c>
      <c r="B14" s="19" t="s">
        <v>242</v>
      </c>
      <c r="C14" s="19" t="s">
        <v>243</v>
      </c>
      <c r="D14" s="19" t="s">
        <v>173</v>
      </c>
      <c r="E14" s="19"/>
      <c r="F14" s="19" t="s">
        <v>222</v>
      </c>
      <c r="G14" s="19" t="n">
        <v>1</v>
      </c>
      <c r="H14" s="19" t="s">
        <v>223</v>
      </c>
      <c r="I14" s="20" t="n">
        <v>1.05</v>
      </c>
      <c r="J14" s="19" t="s">
        <v>244</v>
      </c>
      <c r="K14" s="21" t="n">
        <v>189</v>
      </c>
      <c r="L14" s="21" t="n">
        <v>175</v>
      </c>
      <c r="M14" s="22" t="n">
        <f aca="false">IF(AND(ISNUMBER(K14),ISNUMBER(L14),K14&gt;0),(K14-L14)/K14,"")</f>
        <v>0.0740740740740741</v>
      </c>
      <c r="N14" s="23" t="n">
        <f aca="false">IF(AND(ISNUMBER(L14),ISNUMBER(G14),G14&gt;0),IF(OR(H14="g",H14="ml"),L14/G14*1000,IF(OR(H14="kg",H14="L"),L14/G14,"")),"")</f>
        <v>175</v>
      </c>
      <c r="O14" s="24" t="n">
        <v>0</v>
      </c>
      <c r="P14" s="25" t="s">
        <v>245</v>
      </c>
      <c r="Q14" s="19" t="n">
        <v>120</v>
      </c>
      <c r="R14" s="19" t="n">
        <v>25</v>
      </c>
      <c r="S14" s="26" t="s">
        <v>246</v>
      </c>
      <c r="T14" s="26"/>
      <c r="U14" s="26" t="s">
        <v>247</v>
      </c>
      <c r="V14" s="26" t="s">
        <v>248</v>
      </c>
      <c r="W14" s="19"/>
      <c r="X14" s="19" t="s">
        <v>90</v>
      </c>
      <c r="Y14" s="19" t="n">
        <v>9</v>
      </c>
      <c r="Z14" s="19" t="s">
        <v>181</v>
      </c>
      <c r="AA14" s="19" t="s">
        <v>97</v>
      </c>
      <c r="AB14" s="19"/>
      <c r="AC14" s="19" t="s">
        <v>249</v>
      </c>
      <c r="AD14" s="19"/>
      <c r="AE14" s="19" t="s">
        <v>250</v>
      </c>
      <c r="AF14" s="19" t="s">
        <v>113</v>
      </c>
      <c r="AG14" s="19" t="s">
        <v>113</v>
      </c>
      <c r="AH14" s="19" t="s">
        <v>116</v>
      </c>
      <c r="AI14" s="26" t="s">
        <v>251</v>
      </c>
    </row>
    <row r="15" customFormat="false" ht="23.85" hidden="false" customHeight="false" outlineLevel="0" collapsed="false">
      <c r="A15" s="19" t="s">
        <v>252</v>
      </c>
      <c r="B15" s="19" t="s">
        <v>253</v>
      </c>
      <c r="C15" s="19" t="s">
        <v>254</v>
      </c>
      <c r="D15" s="19" t="s">
        <v>173</v>
      </c>
      <c r="E15" s="19"/>
      <c r="F15" s="19" t="s">
        <v>255</v>
      </c>
      <c r="G15" s="19" t="n">
        <v>1</v>
      </c>
      <c r="H15" s="19" t="s">
        <v>256</v>
      </c>
      <c r="I15" s="20" t="n">
        <v>1.05</v>
      </c>
      <c r="J15" s="19" t="s">
        <v>257</v>
      </c>
      <c r="K15" s="21" t="n">
        <v>249</v>
      </c>
      <c r="L15" s="21" t="n">
        <v>225</v>
      </c>
      <c r="M15" s="22" t="n">
        <f aca="false">IF(AND(ISNUMBER(K15),ISNUMBER(L15),K15&gt;0),(K15-L15)/K15,"")</f>
        <v>0.0963855421686747</v>
      </c>
      <c r="N15" s="23" t="n">
        <f aca="false">IF(AND(ISNUMBER(L15),ISNUMBER(G15),G15&gt;0),IF(OR(H15="g",H15="ml"),L15/G15*1000,IF(OR(H15="kg",H15="L"),L15/G15,"")),"")</f>
        <v>225</v>
      </c>
      <c r="O15" s="24" t="n">
        <v>0.05</v>
      </c>
      <c r="P15" s="25" t="s">
        <v>258</v>
      </c>
      <c r="Q15" s="19" t="n">
        <v>90</v>
      </c>
      <c r="R15" s="19" t="n">
        <v>20</v>
      </c>
      <c r="S15" s="26" t="s">
        <v>259</v>
      </c>
      <c r="T15" s="26" t="s">
        <v>260</v>
      </c>
      <c r="U15" s="26" t="s">
        <v>261</v>
      </c>
      <c r="V15" s="26" t="s">
        <v>262</v>
      </c>
      <c r="W15" s="19"/>
      <c r="X15" s="19" t="s">
        <v>90</v>
      </c>
      <c r="Y15" s="19" t="n">
        <v>9</v>
      </c>
      <c r="Z15" s="19" t="s">
        <v>263</v>
      </c>
      <c r="AA15" s="19" t="s">
        <v>97</v>
      </c>
      <c r="AB15" s="19"/>
      <c r="AC15" s="19" t="s">
        <v>264</v>
      </c>
      <c r="AD15" s="19"/>
      <c r="AE15" s="19" t="s">
        <v>265</v>
      </c>
      <c r="AF15" s="19" t="s">
        <v>24</v>
      </c>
      <c r="AG15" s="19" t="s">
        <v>113</v>
      </c>
      <c r="AH15" s="19" t="s">
        <v>116</v>
      </c>
      <c r="AI15" s="26"/>
    </row>
    <row r="16" customFormat="false" ht="23.85" hidden="false" customHeight="false" outlineLevel="0" collapsed="false">
      <c r="A16" s="19" t="s">
        <v>266</v>
      </c>
      <c r="B16" s="19" t="s">
        <v>253</v>
      </c>
      <c r="C16" s="19" t="s">
        <v>254</v>
      </c>
      <c r="D16" s="19" t="s">
        <v>173</v>
      </c>
      <c r="E16" s="19"/>
      <c r="F16" s="19" t="s">
        <v>267</v>
      </c>
      <c r="G16" s="19" t="n">
        <v>5</v>
      </c>
      <c r="H16" s="19" t="s">
        <v>256</v>
      </c>
      <c r="I16" s="20" t="n">
        <v>4.9</v>
      </c>
      <c r="J16" s="19" t="s">
        <v>268</v>
      </c>
      <c r="K16" s="21" t="n">
        <v>1199</v>
      </c>
      <c r="L16" s="21" t="n">
        <v>1049</v>
      </c>
      <c r="M16" s="22" t="n">
        <f aca="false">IF(AND(ISNUMBER(K16),ISNUMBER(L16),K16&gt;0),(K16-L16)/K16,"")</f>
        <v>0.125104253544621</v>
      </c>
      <c r="N16" s="23" t="n">
        <f aca="false">IF(AND(ISNUMBER(L16),ISNUMBER(G16),G16&gt;0),IF(OR(H16="g",H16="ml"),L16/G16*1000,IF(OR(H16="kg",H16="L"),L16/G16,"")),"")</f>
        <v>209.8</v>
      </c>
      <c r="O16" s="24" t="n">
        <v>0.05</v>
      </c>
      <c r="P16" s="25" t="s">
        <v>258</v>
      </c>
      <c r="Q16" s="19" t="n">
        <v>30</v>
      </c>
      <c r="R16" s="19" t="n">
        <v>5</v>
      </c>
      <c r="S16" s="26" t="s">
        <v>269</v>
      </c>
      <c r="T16" s="26"/>
      <c r="U16" s="26" t="s">
        <v>261</v>
      </c>
      <c r="V16" s="26" t="s">
        <v>270</v>
      </c>
      <c r="W16" s="19"/>
      <c r="X16" s="19" t="s">
        <v>90</v>
      </c>
      <c r="Y16" s="19" t="n">
        <v>9</v>
      </c>
      <c r="Z16" s="19" t="s">
        <v>263</v>
      </c>
      <c r="AA16" s="19" t="s">
        <v>97</v>
      </c>
      <c r="AB16" s="19"/>
      <c r="AC16" s="19" t="s">
        <v>271</v>
      </c>
      <c r="AD16" s="19"/>
      <c r="AE16" s="19" t="s">
        <v>272</v>
      </c>
      <c r="AF16" s="19" t="s">
        <v>113</v>
      </c>
      <c r="AG16" s="19" t="s">
        <v>113</v>
      </c>
      <c r="AH16" s="19" t="s">
        <v>116</v>
      </c>
      <c r="AI16" s="26" t="s">
        <v>273</v>
      </c>
    </row>
    <row r="17" customFormat="false" ht="23.85" hidden="false" customHeight="false" outlineLevel="0" collapsed="false">
      <c r="A17" s="19" t="s">
        <v>274</v>
      </c>
      <c r="B17" s="19" t="s">
        <v>275</v>
      </c>
      <c r="C17" s="19" t="s">
        <v>254</v>
      </c>
      <c r="D17" s="19" t="s">
        <v>173</v>
      </c>
      <c r="E17" s="19"/>
      <c r="F17" s="19" t="s">
        <v>276</v>
      </c>
      <c r="G17" s="19" t="n">
        <v>500</v>
      </c>
      <c r="H17" s="19" t="s">
        <v>277</v>
      </c>
      <c r="I17" s="20" t="n">
        <v>0.75</v>
      </c>
      <c r="J17" s="19" t="s">
        <v>278</v>
      </c>
      <c r="K17" s="21" t="n">
        <v>899</v>
      </c>
      <c r="L17" s="21" t="n">
        <v>799</v>
      </c>
      <c r="M17" s="22" t="n">
        <f aca="false">IF(AND(ISNUMBER(K17),ISNUMBER(L17),K17&gt;0),(K17-L17)/K17,"")</f>
        <v>0.111234705228031</v>
      </c>
      <c r="N17" s="23" t="n">
        <f aca="false">IF(AND(ISNUMBER(L17),ISNUMBER(G17),G17&gt;0),IF(OR(H17="g",H17="ml"),L17/G17*1000,IF(OR(H17="kg",H17="L"),L17/G17,"")),"")</f>
        <v>1598</v>
      </c>
      <c r="O17" s="24" t="n">
        <v>0.12</v>
      </c>
      <c r="P17" s="25" t="s">
        <v>279</v>
      </c>
      <c r="Q17" s="19" t="n">
        <v>45</v>
      </c>
      <c r="R17" s="19" t="n">
        <v>10</v>
      </c>
      <c r="S17" s="26" t="s">
        <v>280</v>
      </c>
      <c r="T17" s="26" t="s">
        <v>281</v>
      </c>
      <c r="U17" s="26" t="s">
        <v>282</v>
      </c>
      <c r="V17" s="26" t="s">
        <v>283</v>
      </c>
      <c r="W17" s="19" t="s">
        <v>284</v>
      </c>
      <c r="X17" s="19" t="s">
        <v>285</v>
      </c>
      <c r="Y17" s="19" t="n">
        <v>12</v>
      </c>
      <c r="Z17" s="19" t="s">
        <v>286</v>
      </c>
      <c r="AA17" s="19" t="s">
        <v>97</v>
      </c>
      <c r="AB17" s="19"/>
      <c r="AC17" s="19" t="s">
        <v>287</v>
      </c>
      <c r="AD17" s="19"/>
      <c r="AE17" s="19" t="s">
        <v>288</v>
      </c>
      <c r="AF17" s="19" t="s">
        <v>24</v>
      </c>
      <c r="AG17" s="19" t="s">
        <v>24</v>
      </c>
      <c r="AH17" s="19" t="s">
        <v>116</v>
      </c>
      <c r="AI17" s="26"/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  <c r="I18" s="28"/>
      <c r="J18" s="27"/>
      <c r="K18" s="29"/>
      <c r="L18" s="29"/>
      <c r="M18" s="30" t="str">
        <f aca="false">IF(AND(ISNUMBER(K18),ISNUMBER(L18),K18&gt;0),(K18-L18)/K18,"")</f>
        <v/>
      </c>
      <c r="N18" s="31" t="str">
        <f aca="false">IF(AND(ISNUMBER(L18),ISNUMBER(G18),G18&gt;0),IF(OR(H18="g",H18="ml"),L18/G18*1000,IF(OR(H18="kg",H18="L"),L18/G18,"")),"")</f>
        <v/>
      </c>
      <c r="O18" s="32"/>
      <c r="P18" s="33"/>
      <c r="Q18" s="27"/>
      <c r="R18" s="27"/>
      <c r="S18" s="34"/>
      <c r="T18" s="34"/>
      <c r="U18" s="34"/>
      <c r="V18" s="34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34"/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27"/>
      <c r="I19" s="28"/>
      <c r="J19" s="27"/>
      <c r="K19" s="29"/>
      <c r="L19" s="29"/>
      <c r="M19" s="30" t="str">
        <f aca="false">IF(AND(ISNUMBER(K19),ISNUMBER(L19),K19&gt;0),(K19-L19)/K19,"")</f>
        <v/>
      </c>
      <c r="N19" s="31" t="str">
        <f aca="false">IF(AND(ISNUMBER(L19),ISNUMBER(G19),G19&gt;0),IF(OR(H19="g",H19="ml"),L19/G19*1000,IF(OR(H19="kg",H19="L"),L19/G19,"")),"")</f>
        <v/>
      </c>
      <c r="O19" s="32"/>
      <c r="P19" s="33"/>
      <c r="Q19" s="27"/>
      <c r="R19" s="27"/>
      <c r="S19" s="34"/>
      <c r="T19" s="34"/>
      <c r="U19" s="34"/>
      <c r="V19" s="34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34"/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7"/>
      <c r="H20" s="27"/>
      <c r="I20" s="28"/>
      <c r="J20" s="27"/>
      <c r="K20" s="29"/>
      <c r="L20" s="29"/>
      <c r="M20" s="30" t="str">
        <f aca="false">IF(AND(ISNUMBER(K20),ISNUMBER(L20),K20&gt;0),(K20-L20)/K20,"")</f>
        <v/>
      </c>
      <c r="N20" s="31" t="str">
        <f aca="false">IF(AND(ISNUMBER(L20),ISNUMBER(G20),G20&gt;0),IF(OR(H20="g",H20="ml"),L20/G20*1000,IF(OR(H20="kg",H20="L"),L20/G20,"")),"")</f>
        <v/>
      </c>
      <c r="O20" s="32"/>
      <c r="P20" s="33"/>
      <c r="Q20" s="27"/>
      <c r="R20" s="27"/>
      <c r="S20" s="34"/>
      <c r="T20" s="34"/>
      <c r="U20" s="34"/>
      <c r="V20" s="34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34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27"/>
      <c r="I21" s="28"/>
      <c r="J21" s="27"/>
      <c r="K21" s="29"/>
      <c r="L21" s="29"/>
      <c r="M21" s="30" t="str">
        <f aca="false">IF(AND(ISNUMBER(K21),ISNUMBER(L21),K21&gt;0),(K21-L21)/K21,"")</f>
        <v/>
      </c>
      <c r="N21" s="31" t="str">
        <f aca="false">IF(AND(ISNUMBER(L21),ISNUMBER(G21),G21&gt;0),IF(OR(H21="g",H21="ml"),L21/G21*1000,IF(OR(H21="kg",H21="L"),L21/G21,"")),"")</f>
        <v/>
      </c>
      <c r="O21" s="32"/>
      <c r="P21" s="33"/>
      <c r="Q21" s="27"/>
      <c r="R21" s="27"/>
      <c r="S21" s="34"/>
      <c r="T21" s="34"/>
      <c r="U21" s="34"/>
      <c r="V21" s="34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34"/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8"/>
      <c r="J22" s="27"/>
      <c r="K22" s="29"/>
      <c r="L22" s="29"/>
      <c r="M22" s="30" t="str">
        <f aca="false">IF(AND(ISNUMBER(K22),ISNUMBER(L22),K22&gt;0),(K22-L22)/K22,"")</f>
        <v/>
      </c>
      <c r="N22" s="31" t="str">
        <f aca="false">IF(AND(ISNUMBER(L22),ISNUMBER(G22),G22&gt;0),IF(OR(H22="g",H22="ml"),L22/G22*1000,IF(OR(H22="kg",H22="L"),L22/G22,"")),"")</f>
        <v/>
      </c>
      <c r="O22" s="32"/>
      <c r="P22" s="33"/>
      <c r="Q22" s="27"/>
      <c r="R22" s="27"/>
      <c r="S22" s="34"/>
      <c r="T22" s="34"/>
      <c r="U22" s="34"/>
      <c r="V22" s="34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34"/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I23" s="28"/>
      <c r="J23" s="27"/>
      <c r="K23" s="29"/>
      <c r="L23" s="29"/>
      <c r="M23" s="30" t="str">
        <f aca="false">IF(AND(ISNUMBER(K23),ISNUMBER(L23),K23&gt;0),(K23-L23)/K23,"")</f>
        <v/>
      </c>
      <c r="N23" s="31" t="str">
        <f aca="false">IF(AND(ISNUMBER(L23),ISNUMBER(G23),G23&gt;0),IF(OR(H23="g",H23="ml"),L23/G23*1000,IF(OR(H23="kg",H23="L"),L23/G23,"")),"")</f>
        <v/>
      </c>
      <c r="O23" s="32"/>
      <c r="P23" s="33"/>
      <c r="Q23" s="27"/>
      <c r="R23" s="27"/>
      <c r="S23" s="34"/>
      <c r="T23" s="34"/>
      <c r="U23" s="34"/>
      <c r="V23" s="34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34"/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  <c r="I24" s="28"/>
      <c r="J24" s="27"/>
      <c r="K24" s="29"/>
      <c r="L24" s="29"/>
      <c r="M24" s="30" t="str">
        <f aca="false">IF(AND(ISNUMBER(K24),ISNUMBER(L24),K24&gt;0),(K24-L24)/K24,"")</f>
        <v/>
      </c>
      <c r="N24" s="31" t="str">
        <f aca="false">IF(AND(ISNUMBER(L24),ISNUMBER(G24),G24&gt;0),IF(OR(H24="g",H24="ml"),L24/G24*1000,IF(OR(H24="kg",H24="L"),L24/G24,"")),"")</f>
        <v/>
      </c>
      <c r="O24" s="32"/>
      <c r="P24" s="33"/>
      <c r="Q24" s="27"/>
      <c r="R24" s="27"/>
      <c r="S24" s="34"/>
      <c r="T24" s="34"/>
      <c r="U24" s="34"/>
      <c r="V24" s="34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34"/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7"/>
      <c r="G25" s="27"/>
      <c r="H25" s="27"/>
      <c r="I25" s="28"/>
      <c r="J25" s="27"/>
      <c r="K25" s="29"/>
      <c r="L25" s="29"/>
      <c r="M25" s="30" t="str">
        <f aca="false">IF(AND(ISNUMBER(K25),ISNUMBER(L25),K25&gt;0),(K25-L25)/K25,"")</f>
        <v/>
      </c>
      <c r="N25" s="31" t="str">
        <f aca="false">IF(AND(ISNUMBER(L25),ISNUMBER(G25),G25&gt;0),IF(OR(H25="g",H25="ml"),L25/G25*1000,IF(OR(H25="kg",H25="L"),L25/G25,"")),"")</f>
        <v/>
      </c>
      <c r="O25" s="32"/>
      <c r="P25" s="33"/>
      <c r="Q25" s="27"/>
      <c r="R25" s="27"/>
      <c r="S25" s="34"/>
      <c r="T25" s="34"/>
      <c r="U25" s="34"/>
      <c r="V25" s="34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34"/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8"/>
      <c r="J26" s="27"/>
      <c r="K26" s="29"/>
      <c r="L26" s="29"/>
      <c r="M26" s="30" t="str">
        <f aca="false">IF(AND(ISNUMBER(K26),ISNUMBER(L26),K26&gt;0),(K26-L26)/K26,"")</f>
        <v/>
      </c>
      <c r="N26" s="31" t="str">
        <f aca="false">IF(AND(ISNUMBER(L26),ISNUMBER(G26),G26&gt;0),IF(OR(H26="g",H26="ml"),L26/G26*1000,IF(OR(H26="kg",H26="L"),L26/G26,"")),"")</f>
        <v/>
      </c>
      <c r="O26" s="32"/>
      <c r="P26" s="33"/>
      <c r="Q26" s="27"/>
      <c r="R26" s="27"/>
      <c r="S26" s="34"/>
      <c r="T26" s="34"/>
      <c r="U26" s="34"/>
      <c r="V26" s="34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34"/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7"/>
      <c r="H27" s="27"/>
      <c r="I27" s="28"/>
      <c r="J27" s="27"/>
      <c r="K27" s="29"/>
      <c r="L27" s="29"/>
      <c r="M27" s="30" t="str">
        <f aca="false">IF(AND(ISNUMBER(K27),ISNUMBER(L27),K27&gt;0),(K27-L27)/K27,"")</f>
        <v/>
      </c>
      <c r="N27" s="31" t="str">
        <f aca="false">IF(AND(ISNUMBER(L27),ISNUMBER(G27),G27&gt;0),IF(OR(H27="g",H27="ml"),L27/G27*1000,IF(OR(H27="kg",H27="L"),L27/G27,"")),"")</f>
        <v/>
      </c>
      <c r="O27" s="32"/>
      <c r="P27" s="33"/>
      <c r="Q27" s="27"/>
      <c r="R27" s="27"/>
      <c r="S27" s="34"/>
      <c r="T27" s="34"/>
      <c r="U27" s="34"/>
      <c r="V27" s="34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34"/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8"/>
      <c r="J28" s="27"/>
      <c r="K28" s="29"/>
      <c r="L28" s="29"/>
      <c r="M28" s="30" t="str">
        <f aca="false">IF(AND(ISNUMBER(K28),ISNUMBER(L28),K28&gt;0),(K28-L28)/K28,"")</f>
        <v/>
      </c>
      <c r="N28" s="31" t="str">
        <f aca="false">IF(AND(ISNUMBER(L28),ISNUMBER(G28),G28&gt;0),IF(OR(H28="g",H28="ml"),L28/G28*1000,IF(OR(H28="kg",H28="L"),L28/G28,"")),"")</f>
        <v/>
      </c>
      <c r="O28" s="32"/>
      <c r="P28" s="33"/>
      <c r="Q28" s="27"/>
      <c r="R28" s="27"/>
      <c r="S28" s="34"/>
      <c r="T28" s="34"/>
      <c r="U28" s="34"/>
      <c r="V28" s="34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34"/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7"/>
      <c r="G29" s="27"/>
      <c r="H29" s="27"/>
      <c r="I29" s="28"/>
      <c r="J29" s="27"/>
      <c r="K29" s="29"/>
      <c r="L29" s="29"/>
      <c r="M29" s="30" t="str">
        <f aca="false">IF(AND(ISNUMBER(K29),ISNUMBER(L29),K29&gt;0),(K29-L29)/K29,"")</f>
        <v/>
      </c>
      <c r="N29" s="31" t="str">
        <f aca="false">IF(AND(ISNUMBER(L29),ISNUMBER(G29),G29&gt;0),IF(OR(H29="g",H29="ml"),L29/G29*1000,IF(OR(H29="kg",H29="L"),L29/G29,"")),"")</f>
        <v/>
      </c>
      <c r="O29" s="32"/>
      <c r="P29" s="33"/>
      <c r="Q29" s="27"/>
      <c r="R29" s="27"/>
      <c r="S29" s="34"/>
      <c r="T29" s="34"/>
      <c r="U29" s="34"/>
      <c r="V29" s="34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34"/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7"/>
      <c r="H30" s="27"/>
      <c r="I30" s="28"/>
      <c r="J30" s="27"/>
      <c r="K30" s="29"/>
      <c r="L30" s="29"/>
      <c r="M30" s="30" t="str">
        <f aca="false">IF(AND(ISNUMBER(K30),ISNUMBER(L30),K30&gt;0),(K30-L30)/K30,"")</f>
        <v/>
      </c>
      <c r="N30" s="31" t="str">
        <f aca="false">IF(AND(ISNUMBER(L30),ISNUMBER(G30),G30&gt;0),IF(OR(H30="g",H30="ml"),L30/G30*1000,IF(OR(H30="kg",H30="L"),L30/G30,"")),"")</f>
        <v/>
      </c>
      <c r="O30" s="32"/>
      <c r="P30" s="33"/>
      <c r="Q30" s="27"/>
      <c r="R30" s="27"/>
      <c r="S30" s="34"/>
      <c r="T30" s="34"/>
      <c r="U30" s="34"/>
      <c r="V30" s="34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34"/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  <c r="G31" s="27"/>
      <c r="H31" s="27"/>
      <c r="I31" s="28"/>
      <c r="J31" s="27"/>
      <c r="K31" s="29"/>
      <c r="L31" s="29"/>
      <c r="M31" s="30" t="str">
        <f aca="false">IF(AND(ISNUMBER(K31),ISNUMBER(L31),K31&gt;0),(K31-L31)/K31,"")</f>
        <v/>
      </c>
      <c r="N31" s="31" t="str">
        <f aca="false">IF(AND(ISNUMBER(L31),ISNUMBER(G31),G31&gt;0),IF(OR(H31="g",H31="ml"),L31/G31*1000,IF(OR(H31="kg",H31="L"),L31/G31,"")),"")</f>
        <v/>
      </c>
      <c r="O31" s="32"/>
      <c r="P31" s="33"/>
      <c r="Q31" s="27"/>
      <c r="R31" s="27"/>
      <c r="S31" s="34"/>
      <c r="T31" s="34"/>
      <c r="U31" s="34"/>
      <c r="V31" s="34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34"/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7"/>
      <c r="H32" s="27"/>
      <c r="I32" s="28"/>
      <c r="J32" s="27"/>
      <c r="K32" s="29"/>
      <c r="L32" s="29"/>
      <c r="M32" s="30" t="str">
        <f aca="false">IF(AND(ISNUMBER(K32),ISNUMBER(L32),K32&gt;0),(K32-L32)/K32,"")</f>
        <v/>
      </c>
      <c r="N32" s="31" t="str">
        <f aca="false">IF(AND(ISNUMBER(L32),ISNUMBER(G32),G32&gt;0),IF(OR(H32="g",H32="ml"),L32/G32*1000,IF(OR(H32="kg",H32="L"),L32/G32,"")),"")</f>
        <v/>
      </c>
      <c r="O32" s="32"/>
      <c r="P32" s="33"/>
      <c r="Q32" s="27"/>
      <c r="R32" s="27"/>
      <c r="S32" s="34"/>
      <c r="T32" s="34"/>
      <c r="U32" s="34"/>
      <c r="V32" s="34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34"/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  <c r="G33" s="27"/>
      <c r="H33" s="27"/>
      <c r="I33" s="28"/>
      <c r="J33" s="27"/>
      <c r="K33" s="29"/>
      <c r="L33" s="29"/>
      <c r="M33" s="30" t="str">
        <f aca="false">IF(AND(ISNUMBER(K33),ISNUMBER(L33),K33&gt;0),(K33-L33)/K33,"")</f>
        <v/>
      </c>
      <c r="N33" s="31" t="str">
        <f aca="false">IF(AND(ISNUMBER(L33),ISNUMBER(G33),G33&gt;0),IF(OR(H33="g",H33="ml"),L33/G33*1000,IF(OR(H33="kg",H33="L"),L33/G33,"")),"")</f>
        <v/>
      </c>
      <c r="O33" s="32"/>
      <c r="P33" s="33"/>
      <c r="Q33" s="27"/>
      <c r="R33" s="27"/>
      <c r="S33" s="34"/>
      <c r="T33" s="34"/>
      <c r="U33" s="34"/>
      <c r="V33" s="34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34"/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  <c r="G34" s="27"/>
      <c r="H34" s="27"/>
      <c r="I34" s="28"/>
      <c r="J34" s="27"/>
      <c r="K34" s="29"/>
      <c r="L34" s="29"/>
      <c r="M34" s="30" t="str">
        <f aca="false">IF(AND(ISNUMBER(K34),ISNUMBER(L34),K34&gt;0),(K34-L34)/K34,"")</f>
        <v/>
      </c>
      <c r="N34" s="31" t="str">
        <f aca="false">IF(AND(ISNUMBER(L34),ISNUMBER(G34),G34&gt;0),IF(OR(H34="g",H34="ml"),L34/G34*1000,IF(OR(H34="kg",H34="L"),L34/G34,"")),"")</f>
        <v/>
      </c>
      <c r="O34" s="32"/>
      <c r="P34" s="33"/>
      <c r="Q34" s="27"/>
      <c r="R34" s="27"/>
      <c r="S34" s="34"/>
      <c r="T34" s="34"/>
      <c r="U34" s="34"/>
      <c r="V34" s="34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34"/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7"/>
      <c r="G35" s="27"/>
      <c r="H35" s="27"/>
      <c r="I35" s="28"/>
      <c r="J35" s="27"/>
      <c r="K35" s="29"/>
      <c r="L35" s="29"/>
      <c r="M35" s="30" t="str">
        <f aca="false">IF(AND(ISNUMBER(K35),ISNUMBER(L35),K35&gt;0),(K35-L35)/K35,"")</f>
        <v/>
      </c>
      <c r="N35" s="31" t="str">
        <f aca="false">IF(AND(ISNUMBER(L35),ISNUMBER(G35),G35&gt;0),IF(OR(H35="g",H35="ml"),L35/G35*1000,IF(OR(H35="kg",H35="L"),L35/G35,"")),"")</f>
        <v/>
      </c>
      <c r="O35" s="32"/>
      <c r="P35" s="33"/>
      <c r="Q35" s="27"/>
      <c r="R35" s="27"/>
      <c r="S35" s="34"/>
      <c r="T35" s="34"/>
      <c r="U35" s="34"/>
      <c r="V35" s="34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34"/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8"/>
      <c r="J36" s="27"/>
      <c r="K36" s="29"/>
      <c r="L36" s="29"/>
      <c r="M36" s="30" t="str">
        <f aca="false">IF(AND(ISNUMBER(K36),ISNUMBER(L36),K36&gt;0),(K36-L36)/K36,"")</f>
        <v/>
      </c>
      <c r="N36" s="31" t="str">
        <f aca="false">IF(AND(ISNUMBER(L36),ISNUMBER(G36),G36&gt;0),IF(OR(H36="g",H36="ml"),L36/G36*1000,IF(OR(H36="kg",H36="L"),L36/G36,"")),"")</f>
        <v/>
      </c>
      <c r="O36" s="32"/>
      <c r="P36" s="33"/>
      <c r="Q36" s="27"/>
      <c r="R36" s="27"/>
      <c r="S36" s="34"/>
      <c r="T36" s="34"/>
      <c r="U36" s="34"/>
      <c r="V36" s="34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34"/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8"/>
      <c r="J37" s="27"/>
      <c r="K37" s="29"/>
      <c r="L37" s="29"/>
      <c r="M37" s="30" t="str">
        <f aca="false">IF(AND(ISNUMBER(K37),ISNUMBER(L37),K37&gt;0),(K37-L37)/K37,"")</f>
        <v/>
      </c>
      <c r="N37" s="31" t="str">
        <f aca="false">IF(AND(ISNUMBER(L37),ISNUMBER(G37),G37&gt;0),IF(OR(H37="g",H37="ml"),L37/G37*1000,IF(OR(H37="kg",H37="L"),L37/G37,"")),"")</f>
        <v/>
      </c>
      <c r="O37" s="32"/>
      <c r="P37" s="33"/>
      <c r="Q37" s="27"/>
      <c r="R37" s="27"/>
      <c r="S37" s="34"/>
      <c r="T37" s="34"/>
      <c r="U37" s="34"/>
      <c r="V37" s="34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34"/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8"/>
      <c r="J38" s="27"/>
      <c r="K38" s="29"/>
      <c r="L38" s="29"/>
      <c r="M38" s="30" t="str">
        <f aca="false">IF(AND(ISNUMBER(K38),ISNUMBER(L38),K38&gt;0),(K38-L38)/K38,"")</f>
        <v/>
      </c>
      <c r="N38" s="31" t="str">
        <f aca="false">IF(AND(ISNUMBER(L38),ISNUMBER(G38),G38&gt;0),IF(OR(H38="g",H38="ml"),L38/G38*1000,IF(OR(H38="kg",H38="L"),L38/G38,"")),"")</f>
        <v/>
      </c>
      <c r="O38" s="32"/>
      <c r="P38" s="33"/>
      <c r="Q38" s="27"/>
      <c r="R38" s="27"/>
      <c r="S38" s="34"/>
      <c r="T38" s="34"/>
      <c r="U38" s="34"/>
      <c r="V38" s="34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34"/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8"/>
      <c r="J39" s="27"/>
      <c r="K39" s="29"/>
      <c r="L39" s="29"/>
      <c r="M39" s="30" t="str">
        <f aca="false">IF(AND(ISNUMBER(K39),ISNUMBER(L39),K39&gt;0),(K39-L39)/K39,"")</f>
        <v/>
      </c>
      <c r="N39" s="31" t="str">
        <f aca="false">IF(AND(ISNUMBER(L39),ISNUMBER(G39),G39&gt;0),IF(OR(H39="g",H39="ml"),L39/G39*1000,IF(OR(H39="kg",H39="L"),L39/G39,"")),"")</f>
        <v/>
      </c>
      <c r="O39" s="32"/>
      <c r="P39" s="33"/>
      <c r="Q39" s="27"/>
      <c r="R39" s="27"/>
      <c r="S39" s="34"/>
      <c r="T39" s="34"/>
      <c r="U39" s="34"/>
      <c r="V39" s="34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34"/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8"/>
      <c r="J40" s="27"/>
      <c r="K40" s="29"/>
      <c r="L40" s="29"/>
      <c r="M40" s="30" t="str">
        <f aca="false">IF(AND(ISNUMBER(K40),ISNUMBER(L40),K40&gt;0),(K40-L40)/K40,"")</f>
        <v/>
      </c>
      <c r="N40" s="31" t="str">
        <f aca="false">IF(AND(ISNUMBER(L40),ISNUMBER(G40),G40&gt;0),IF(OR(H40="g",H40="ml"),L40/G40*1000,IF(OR(H40="kg",H40="L"),L40/G40,"")),"")</f>
        <v/>
      </c>
      <c r="O40" s="32"/>
      <c r="P40" s="33"/>
      <c r="Q40" s="27"/>
      <c r="R40" s="27"/>
      <c r="S40" s="34"/>
      <c r="T40" s="34"/>
      <c r="U40" s="34"/>
      <c r="V40" s="34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34"/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8"/>
      <c r="J41" s="27"/>
      <c r="K41" s="29"/>
      <c r="L41" s="29"/>
      <c r="M41" s="30" t="str">
        <f aca="false">IF(AND(ISNUMBER(K41),ISNUMBER(L41),K41&gt;0),(K41-L41)/K41,"")</f>
        <v/>
      </c>
      <c r="N41" s="31" t="str">
        <f aca="false">IF(AND(ISNUMBER(L41),ISNUMBER(G41),G41&gt;0),IF(OR(H41="g",H41="ml"),L41/G41*1000,IF(OR(H41="kg",H41="L"),L41/G41,"")),"")</f>
        <v/>
      </c>
      <c r="O41" s="32"/>
      <c r="P41" s="33"/>
      <c r="Q41" s="27"/>
      <c r="R41" s="27"/>
      <c r="S41" s="34"/>
      <c r="T41" s="34"/>
      <c r="U41" s="34"/>
      <c r="V41" s="34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34"/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8"/>
      <c r="J42" s="27"/>
      <c r="K42" s="29"/>
      <c r="L42" s="29"/>
      <c r="M42" s="30" t="str">
        <f aca="false">IF(AND(ISNUMBER(K42),ISNUMBER(L42),K42&gt;0),(K42-L42)/K42,"")</f>
        <v/>
      </c>
      <c r="N42" s="31" t="str">
        <f aca="false">IF(AND(ISNUMBER(L42),ISNUMBER(G42),G42&gt;0),IF(OR(H42="g",H42="ml"),L42/G42*1000,IF(OR(H42="kg",H42="L"),L42/G42,"")),"")</f>
        <v/>
      </c>
      <c r="O42" s="32"/>
      <c r="P42" s="33"/>
      <c r="Q42" s="27"/>
      <c r="R42" s="27"/>
      <c r="S42" s="34"/>
      <c r="T42" s="34"/>
      <c r="U42" s="34"/>
      <c r="V42" s="34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34"/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8"/>
      <c r="J43" s="27"/>
      <c r="K43" s="29"/>
      <c r="L43" s="29"/>
      <c r="M43" s="30" t="str">
        <f aca="false">IF(AND(ISNUMBER(K43),ISNUMBER(L43),K43&gt;0),(K43-L43)/K43,"")</f>
        <v/>
      </c>
      <c r="N43" s="31" t="str">
        <f aca="false">IF(AND(ISNUMBER(L43),ISNUMBER(G43),G43&gt;0),IF(OR(H43="g",H43="ml"),L43/G43*1000,IF(OR(H43="kg",H43="L"),L43/G43,"")),"")</f>
        <v/>
      </c>
      <c r="O43" s="32"/>
      <c r="P43" s="33"/>
      <c r="Q43" s="27"/>
      <c r="R43" s="27"/>
      <c r="S43" s="34"/>
      <c r="T43" s="34"/>
      <c r="U43" s="34"/>
      <c r="V43" s="34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34"/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8"/>
      <c r="J44" s="27"/>
      <c r="K44" s="29"/>
      <c r="L44" s="29"/>
      <c r="M44" s="30" t="str">
        <f aca="false">IF(AND(ISNUMBER(K44),ISNUMBER(L44),K44&gt;0),(K44-L44)/K44,"")</f>
        <v/>
      </c>
      <c r="N44" s="31" t="str">
        <f aca="false">IF(AND(ISNUMBER(L44),ISNUMBER(G44),G44&gt;0),IF(OR(H44="g",H44="ml"),L44/G44*1000,IF(OR(H44="kg",H44="L"),L44/G44,"")),"")</f>
        <v/>
      </c>
      <c r="O44" s="32"/>
      <c r="P44" s="33"/>
      <c r="Q44" s="27"/>
      <c r="R44" s="27"/>
      <c r="S44" s="34"/>
      <c r="T44" s="34"/>
      <c r="U44" s="34"/>
      <c r="V44" s="34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34"/>
    </row>
    <row r="45" customFormat="false" ht="1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8"/>
      <c r="J45" s="27"/>
      <c r="K45" s="29"/>
      <c r="L45" s="29"/>
      <c r="M45" s="30" t="str">
        <f aca="false">IF(AND(ISNUMBER(K45),ISNUMBER(L45),K45&gt;0),(K45-L45)/K45,"")</f>
        <v/>
      </c>
      <c r="N45" s="31" t="str">
        <f aca="false">IF(AND(ISNUMBER(L45),ISNUMBER(G45),G45&gt;0),IF(OR(H45="g",H45="ml"),L45/G45*1000,IF(OR(H45="kg",H45="L"),L45/G45,"")),"")</f>
        <v/>
      </c>
      <c r="O45" s="32"/>
      <c r="P45" s="33"/>
      <c r="Q45" s="27"/>
      <c r="R45" s="27"/>
      <c r="S45" s="34"/>
      <c r="T45" s="34"/>
      <c r="U45" s="34"/>
      <c r="V45" s="34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34"/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8"/>
      <c r="J46" s="27"/>
      <c r="K46" s="29"/>
      <c r="L46" s="29"/>
      <c r="M46" s="30" t="str">
        <f aca="false">IF(AND(ISNUMBER(K46),ISNUMBER(L46),K46&gt;0),(K46-L46)/K46,"")</f>
        <v/>
      </c>
      <c r="N46" s="31" t="str">
        <f aca="false">IF(AND(ISNUMBER(L46),ISNUMBER(G46),G46&gt;0),IF(OR(H46="g",H46="ml"),L46/G46*1000,IF(OR(H46="kg",H46="L"),L46/G46,"")),"")</f>
        <v/>
      </c>
      <c r="O46" s="32"/>
      <c r="P46" s="33"/>
      <c r="Q46" s="27"/>
      <c r="R46" s="27"/>
      <c r="S46" s="34"/>
      <c r="T46" s="34"/>
      <c r="U46" s="34"/>
      <c r="V46" s="34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34"/>
    </row>
    <row r="47" customFormat="false" ht="1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8"/>
      <c r="J47" s="27"/>
      <c r="K47" s="29"/>
      <c r="L47" s="29"/>
      <c r="M47" s="30" t="str">
        <f aca="false">IF(AND(ISNUMBER(K47),ISNUMBER(L47),K47&gt;0),(K47-L47)/K47,"")</f>
        <v/>
      </c>
      <c r="N47" s="31" t="str">
        <f aca="false">IF(AND(ISNUMBER(L47),ISNUMBER(G47),G47&gt;0),IF(OR(H47="g",H47="ml"),L47/G47*1000,IF(OR(H47="kg",H47="L"),L47/G47,"")),"")</f>
        <v/>
      </c>
      <c r="O47" s="32"/>
      <c r="P47" s="33"/>
      <c r="Q47" s="27"/>
      <c r="R47" s="27"/>
      <c r="S47" s="34"/>
      <c r="T47" s="34"/>
      <c r="U47" s="34"/>
      <c r="V47" s="34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34"/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8"/>
      <c r="J48" s="27"/>
      <c r="K48" s="29"/>
      <c r="L48" s="29"/>
      <c r="M48" s="30" t="str">
        <f aca="false">IF(AND(ISNUMBER(K48),ISNUMBER(L48),K48&gt;0),(K48-L48)/K48,"")</f>
        <v/>
      </c>
      <c r="N48" s="31" t="str">
        <f aca="false">IF(AND(ISNUMBER(L48),ISNUMBER(G48),G48&gt;0),IF(OR(H48="g",H48="ml"),L48/G48*1000,IF(OR(H48="kg",H48="L"),L48/G48,"")),"")</f>
        <v/>
      </c>
      <c r="O48" s="32"/>
      <c r="P48" s="33"/>
      <c r="Q48" s="27"/>
      <c r="R48" s="27"/>
      <c r="S48" s="34"/>
      <c r="T48" s="34"/>
      <c r="U48" s="34"/>
      <c r="V48" s="34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34"/>
    </row>
    <row r="49" customFormat="false" ht="1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8"/>
      <c r="J49" s="27"/>
      <c r="K49" s="29"/>
      <c r="L49" s="29"/>
      <c r="M49" s="30" t="str">
        <f aca="false">IF(AND(ISNUMBER(K49),ISNUMBER(L49),K49&gt;0),(K49-L49)/K49,"")</f>
        <v/>
      </c>
      <c r="N49" s="31" t="str">
        <f aca="false">IF(AND(ISNUMBER(L49),ISNUMBER(G49),G49&gt;0),IF(OR(H49="g",H49="ml"),L49/G49*1000,IF(OR(H49="kg",H49="L"),L49/G49,"")),"")</f>
        <v/>
      </c>
      <c r="O49" s="32"/>
      <c r="P49" s="33"/>
      <c r="Q49" s="27"/>
      <c r="R49" s="27"/>
      <c r="S49" s="34"/>
      <c r="T49" s="34"/>
      <c r="U49" s="34"/>
      <c r="V49" s="34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34"/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8"/>
      <c r="J50" s="27"/>
      <c r="K50" s="29"/>
      <c r="L50" s="29"/>
      <c r="M50" s="30" t="str">
        <f aca="false">IF(AND(ISNUMBER(K50),ISNUMBER(L50),K50&gt;0),(K50-L50)/K50,"")</f>
        <v/>
      </c>
      <c r="N50" s="31" t="str">
        <f aca="false">IF(AND(ISNUMBER(L50),ISNUMBER(G50),G50&gt;0),IF(OR(H50="g",H50="ml"),L50/G50*1000,IF(OR(H50="kg",H50="L"),L50/G50,"")),"")</f>
        <v/>
      </c>
      <c r="O50" s="32"/>
      <c r="P50" s="33"/>
      <c r="Q50" s="27"/>
      <c r="R50" s="27"/>
      <c r="S50" s="34"/>
      <c r="T50" s="34"/>
      <c r="U50" s="34"/>
      <c r="V50" s="34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34"/>
    </row>
    <row r="51" customFormat="false" ht="1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8"/>
      <c r="J51" s="27"/>
      <c r="K51" s="29"/>
      <c r="L51" s="29"/>
      <c r="M51" s="30" t="str">
        <f aca="false">IF(AND(ISNUMBER(K51),ISNUMBER(L51),K51&gt;0),(K51-L51)/K51,"")</f>
        <v/>
      </c>
      <c r="N51" s="31" t="str">
        <f aca="false">IF(AND(ISNUMBER(L51),ISNUMBER(G51),G51&gt;0),IF(OR(H51="g",H51="ml"),L51/G51*1000,IF(OR(H51="kg",H51="L"),L51/G51,"")),"")</f>
        <v/>
      </c>
      <c r="O51" s="32"/>
      <c r="P51" s="33"/>
      <c r="Q51" s="27"/>
      <c r="R51" s="27"/>
      <c r="S51" s="34"/>
      <c r="T51" s="34"/>
      <c r="U51" s="34"/>
      <c r="V51" s="34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34"/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8"/>
      <c r="J52" s="27"/>
      <c r="K52" s="29"/>
      <c r="L52" s="29"/>
      <c r="M52" s="30" t="str">
        <f aca="false">IF(AND(ISNUMBER(K52),ISNUMBER(L52),K52&gt;0),(K52-L52)/K52,"")</f>
        <v/>
      </c>
      <c r="N52" s="31" t="str">
        <f aca="false">IF(AND(ISNUMBER(L52),ISNUMBER(G52),G52&gt;0),IF(OR(H52="g",H52="ml"),L52/G52*1000,IF(OR(H52="kg",H52="L"),L52/G52,"")),"")</f>
        <v/>
      </c>
      <c r="O52" s="32"/>
      <c r="P52" s="33"/>
      <c r="Q52" s="27"/>
      <c r="R52" s="27"/>
      <c r="S52" s="34"/>
      <c r="T52" s="34"/>
      <c r="U52" s="34"/>
      <c r="V52" s="34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34"/>
    </row>
    <row r="53" customFormat="false" ht="1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8"/>
      <c r="J53" s="27"/>
      <c r="K53" s="29"/>
      <c r="L53" s="29"/>
      <c r="M53" s="30" t="str">
        <f aca="false">IF(AND(ISNUMBER(K53),ISNUMBER(L53),K53&gt;0),(K53-L53)/K53,"")</f>
        <v/>
      </c>
      <c r="N53" s="31" t="str">
        <f aca="false">IF(AND(ISNUMBER(L53),ISNUMBER(G53),G53&gt;0),IF(OR(H53="g",H53="ml"),L53/G53*1000,IF(OR(H53="kg",H53="L"),L53/G53,"")),"")</f>
        <v/>
      </c>
      <c r="O53" s="32"/>
      <c r="P53" s="33"/>
      <c r="Q53" s="27"/>
      <c r="R53" s="27"/>
      <c r="S53" s="34"/>
      <c r="T53" s="34"/>
      <c r="U53" s="34"/>
      <c r="V53" s="34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34"/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8"/>
      <c r="J54" s="27"/>
      <c r="K54" s="29"/>
      <c r="L54" s="29"/>
      <c r="M54" s="30" t="str">
        <f aca="false">IF(AND(ISNUMBER(K54),ISNUMBER(L54),K54&gt;0),(K54-L54)/K54,"")</f>
        <v/>
      </c>
      <c r="N54" s="31" t="str">
        <f aca="false">IF(AND(ISNUMBER(L54),ISNUMBER(G54),G54&gt;0),IF(OR(H54="g",H54="ml"),L54/G54*1000,IF(OR(H54="kg",H54="L"),L54/G54,"")),"")</f>
        <v/>
      </c>
      <c r="O54" s="32"/>
      <c r="P54" s="33"/>
      <c r="Q54" s="27"/>
      <c r="R54" s="27"/>
      <c r="S54" s="34"/>
      <c r="T54" s="34"/>
      <c r="U54" s="34"/>
      <c r="V54" s="34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34"/>
    </row>
    <row r="55" customFormat="false" ht="1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8"/>
      <c r="J55" s="27"/>
      <c r="K55" s="29"/>
      <c r="L55" s="29"/>
      <c r="M55" s="30" t="str">
        <f aca="false">IF(AND(ISNUMBER(K55),ISNUMBER(L55),K55&gt;0),(K55-L55)/K55,"")</f>
        <v/>
      </c>
      <c r="N55" s="31" t="str">
        <f aca="false">IF(AND(ISNUMBER(L55),ISNUMBER(G55),G55&gt;0),IF(OR(H55="g",H55="ml"),L55/G55*1000,IF(OR(H55="kg",H55="L"),L55/G55,"")),"")</f>
        <v/>
      </c>
      <c r="O55" s="32"/>
      <c r="P55" s="33"/>
      <c r="Q55" s="27"/>
      <c r="R55" s="27"/>
      <c r="S55" s="34"/>
      <c r="T55" s="34"/>
      <c r="U55" s="34"/>
      <c r="V55" s="34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34"/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8"/>
      <c r="J56" s="27"/>
      <c r="K56" s="29"/>
      <c r="L56" s="29"/>
      <c r="M56" s="30" t="str">
        <f aca="false">IF(AND(ISNUMBER(K56),ISNUMBER(L56),K56&gt;0),(K56-L56)/K56,"")</f>
        <v/>
      </c>
      <c r="N56" s="31" t="str">
        <f aca="false">IF(AND(ISNUMBER(L56),ISNUMBER(G56),G56&gt;0),IF(OR(H56="g",H56="ml"),L56/G56*1000,IF(OR(H56="kg",H56="L"),L56/G56,"")),"")</f>
        <v/>
      </c>
      <c r="O56" s="32"/>
      <c r="P56" s="33"/>
      <c r="Q56" s="27"/>
      <c r="R56" s="27"/>
      <c r="S56" s="34"/>
      <c r="T56" s="34"/>
      <c r="U56" s="34"/>
      <c r="V56" s="34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34"/>
    </row>
    <row r="57" customFormat="false" ht="1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8"/>
      <c r="J57" s="27"/>
      <c r="K57" s="29"/>
      <c r="L57" s="29"/>
      <c r="M57" s="30" t="str">
        <f aca="false">IF(AND(ISNUMBER(K57),ISNUMBER(L57),K57&gt;0),(K57-L57)/K57,"")</f>
        <v/>
      </c>
      <c r="N57" s="31" t="str">
        <f aca="false">IF(AND(ISNUMBER(L57),ISNUMBER(G57),G57&gt;0),IF(OR(H57="g",H57="ml"),L57/G57*1000,IF(OR(H57="kg",H57="L"),L57/G57,"")),"")</f>
        <v/>
      </c>
      <c r="O57" s="32"/>
      <c r="P57" s="33"/>
      <c r="Q57" s="27"/>
      <c r="R57" s="27"/>
      <c r="S57" s="34"/>
      <c r="T57" s="34"/>
      <c r="U57" s="34"/>
      <c r="V57" s="34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34"/>
    </row>
    <row r="58" customFormat="false" ht="1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8"/>
      <c r="J58" s="27"/>
      <c r="K58" s="29"/>
      <c r="L58" s="29"/>
      <c r="M58" s="30" t="str">
        <f aca="false">IF(AND(ISNUMBER(K58),ISNUMBER(L58),K58&gt;0),(K58-L58)/K58,"")</f>
        <v/>
      </c>
      <c r="N58" s="31" t="str">
        <f aca="false">IF(AND(ISNUMBER(L58),ISNUMBER(G58),G58&gt;0),IF(OR(H58="g",H58="ml"),L58/G58*1000,IF(OR(H58="kg",H58="L"),L58/G58,"")),"")</f>
        <v/>
      </c>
      <c r="O58" s="32"/>
      <c r="P58" s="33"/>
      <c r="Q58" s="27"/>
      <c r="R58" s="27"/>
      <c r="S58" s="34"/>
      <c r="T58" s="34"/>
      <c r="U58" s="34"/>
      <c r="V58" s="34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34"/>
    </row>
    <row r="59" customFormat="false" ht="1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8"/>
      <c r="J59" s="27"/>
      <c r="K59" s="29"/>
      <c r="L59" s="29"/>
      <c r="M59" s="30" t="str">
        <f aca="false">IF(AND(ISNUMBER(K59),ISNUMBER(L59),K59&gt;0),(K59-L59)/K59,"")</f>
        <v/>
      </c>
      <c r="N59" s="31" t="str">
        <f aca="false">IF(AND(ISNUMBER(L59),ISNUMBER(G59),G59&gt;0),IF(OR(H59="g",H59="ml"),L59/G59*1000,IF(OR(H59="kg",H59="L"),L59/G59,"")),"")</f>
        <v/>
      </c>
      <c r="O59" s="32"/>
      <c r="P59" s="33"/>
      <c r="Q59" s="27"/>
      <c r="R59" s="27"/>
      <c r="S59" s="34"/>
      <c r="T59" s="34"/>
      <c r="U59" s="34"/>
      <c r="V59" s="34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34"/>
    </row>
    <row r="60" customFormat="false" ht="1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8"/>
      <c r="J60" s="27"/>
      <c r="K60" s="29"/>
      <c r="L60" s="29"/>
      <c r="M60" s="30" t="str">
        <f aca="false">IF(AND(ISNUMBER(K60),ISNUMBER(L60),K60&gt;0),(K60-L60)/K60,"")</f>
        <v/>
      </c>
      <c r="N60" s="31" t="str">
        <f aca="false">IF(AND(ISNUMBER(L60),ISNUMBER(G60),G60&gt;0),IF(OR(H60="g",H60="ml"),L60/G60*1000,IF(OR(H60="kg",H60="L"),L60/G60,"")),"")</f>
        <v/>
      </c>
      <c r="O60" s="32"/>
      <c r="P60" s="33"/>
      <c r="Q60" s="27"/>
      <c r="R60" s="27"/>
      <c r="S60" s="34"/>
      <c r="T60" s="34"/>
      <c r="U60" s="34"/>
      <c r="V60" s="34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34"/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8"/>
      <c r="J61" s="27"/>
      <c r="K61" s="29"/>
      <c r="L61" s="29"/>
      <c r="M61" s="30" t="str">
        <f aca="false">IF(AND(ISNUMBER(K61),ISNUMBER(L61),K61&gt;0),(K61-L61)/K61,"")</f>
        <v/>
      </c>
      <c r="N61" s="31" t="str">
        <f aca="false">IF(AND(ISNUMBER(L61),ISNUMBER(G61),G61&gt;0),IF(OR(H61="g",H61="ml"),L61/G61*1000,IF(OR(H61="kg",H61="L"),L61/G61,"")),"")</f>
        <v/>
      </c>
      <c r="O61" s="32"/>
      <c r="P61" s="33"/>
      <c r="Q61" s="27"/>
      <c r="R61" s="27"/>
      <c r="S61" s="34"/>
      <c r="T61" s="34"/>
      <c r="U61" s="34"/>
      <c r="V61" s="34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34"/>
    </row>
    <row r="62" customFormat="false" ht="1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8"/>
      <c r="J62" s="27"/>
      <c r="K62" s="29"/>
      <c r="L62" s="29"/>
      <c r="M62" s="30" t="str">
        <f aca="false">IF(AND(ISNUMBER(K62),ISNUMBER(L62),K62&gt;0),(K62-L62)/K62,"")</f>
        <v/>
      </c>
      <c r="N62" s="31" t="str">
        <f aca="false">IF(AND(ISNUMBER(L62),ISNUMBER(G62),G62&gt;0),IF(OR(H62="g",H62="ml"),L62/G62*1000,IF(OR(H62="kg",H62="L"),L62/G62,"")),"")</f>
        <v/>
      </c>
      <c r="O62" s="32"/>
      <c r="P62" s="33"/>
      <c r="Q62" s="27"/>
      <c r="R62" s="27"/>
      <c r="S62" s="34"/>
      <c r="T62" s="34"/>
      <c r="U62" s="34"/>
      <c r="V62" s="34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34"/>
    </row>
    <row r="63" customFormat="false" ht="1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8"/>
      <c r="J63" s="27"/>
      <c r="K63" s="29"/>
      <c r="L63" s="29"/>
      <c r="M63" s="30" t="str">
        <f aca="false">IF(AND(ISNUMBER(K63),ISNUMBER(L63),K63&gt;0),(K63-L63)/K63,"")</f>
        <v/>
      </c>
      <c r="N63" s="31" t="str">
        <f aca="false">IF(AND(ISNUMBER(L63),ISNUMBER(G63),G63&gt;0),IF(OR(H63="g",H63="ml"),L63/G63*1000,IF(OR(H63="kg",H63="L"),L63/G63,"")),"")</f>
        <v/>
      </c>
      <c r="O63" s="32"/>
      <c r="P63" s="33"/>
      <c r="Q63" s="27"/>
      <c r="R63" s="27"/>
      <c r="S63" s="34"/>
      <c r="T63" s="34"/>
      <c r="U63" s="34"/>
      <c r="V63" s="34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34"/>
    </row>
    <row r="64" customFormat="false" ht="1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8"/>
      <c r="J64" s="27"/>
      <c r="K64" s="29"/>
      <c r="L64" s="29"/>
      <c r="M64" s="30" t="str">
        <f aca="false">IF(AND(ISNUMBER(K64),ISNUMBER(L64),K64&gt;0),(K64-L64)/K64,"")</f>
        <v/>
      </c>
      <c r="N64" s="31" t="str">
        <f aca="false">IF(AND(ISNUMBER(L64),ISNUMBER(G64),G64&gt;0),IF(OR(H64="g",H64="ml"),L64/G64*1000,IF(OR(H64="kg",H64="L"),L64/G64,"")),"")</f>
        <v/>
      </c>
      <c r="O64" s="32"/>
      <c r="P64" s="33"/>
      <c r="Q64" s="27"/>
      <c r="R64" s="27"/>
      <c r="S64" s="34"/>
      <c r="T64" s="34"/>
      <c r="U64" s="34"/>
      <c r="V64" s="34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34"/>
    </row>
    <row r="65" customFormat="false" ht="1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8"/>
      <c r="J65" s="27"/>
      <c r="K65" s="29"/>
      <c r="L65" s="29"/>
      <c r="M65" s="30" t="str">
        <f aca="false">IF(AND(ISNUMBER(K65),ISNUMBER(L65),K65&gt;0),(K65-L65)/K65,"")</f>
        <v/>
      </c>
      <c r="N65" s="31" t="str">
        <f aca="false">IF(AND(ISNUMBER(L65),ISNUMBER(G65),G65&gt;0),IF(OR(H65="g",H65="ml"),L65/G65*1000,IF(OR(H65="kg",H65="L"),L65/G65,"")),"")</f>
        <v/>
      </c>
      <c r="O65" s="32"/>
      <c r="P65" s="33"/>
      <c r="Q65" s="27"/>
      <c r="R65" s="27"/>
      <c r="S65" s="34"/>
      <c r="T65" s="34"/>
      <c r="U65" s="34"/>
      <c r="V65" s="34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34"/>
    </row>
    <row r="66" customFormat="false" ht="1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8"/>
      <c r="J66" s="27"/>
      <c r="K66" s="29"/>
      <c r="L66" s="29"/>
      <c r="M66" s="30" t="str">
        <f aca="false">IF(AND(ISNUMBER(K66),ISNUMBER(L66),K66&gt;0),(K66-L66)/K66,"")</f>
        <v/>
      </c>
      <c r="N66" s="31" t="str">
        <f aca="false">IF(AND(ISNUMBER(L66),ISNUMBER(G66),G66&gt;0),IF(OR(H66="g",H66="ml"),L66/G66*1000,IF(OR(H66="kg",H66="L"),L66/G66,"")),"")</f>
        <v/>
      </c>
      <c r="O66" s="32"/>
      <c r="P66" s="33"/>
      <c r="Q66" s="27"/>
      <c r="R66" s="27"/>
      <c r="S66" s="34"/>
      <c r="T66" s="34"/>
      <c r="U66" s="34"/>
      <c r="V66" s="34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34"/>
    </row>
    <row r="67" customFormat="false" ht="1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8"/>
      <c r="J67" s="27"/>
      <c r="K67" s="29"/>
      <c r="L67" s="29"/>
      <c r="M67" s="30" t="str">
        <f aca="false">IF(AND(ISNUMBER(K67),ISNUMBER(L67),K67&gt;0),(K67-L67)/K67,"")</f>
        <v/>
      </c>
      <c r="N67" s="31" t="str">
        <f aca="false">IF(AND(ISNUMBER(L67),ISNUMBER(G67),G67&gt;0),IF(OR(H67="g",H67="ml"),L67/G67*1000,IF(OR(H67="kg",H67="L"),L67/G67,"")),"")</f>
        <v/>
      </c>
      <c r="O67" s="32"/>
      <c r="P67" s="33"/>
      <c r="Q67" s="27"/>
      <c r="R67" s="27"/>
      <c r="S67" s="34"/>
      <c r="T67" s="34"/>
      <c r="U67" s="34"/>
      <c r="V67" s="34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34"/>
    </row>
    <row r="68" customFormat="false" ht="1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8"/>
      <c r="J68" s="27"/>
      <c r="K68" s="29"/>
      <c r="L68" s="29"/>
      <c r="M68" s="30" t="str">
        <f aca="false">IF(AND(ISNUMBER(K68),ISNUMBER(L68),K68&gt;0),(K68-L68)/K68,"")</f>
        <v/>
      </c>
      <c r="N68" s="31" t="str">
        <f aca="false">IF(AND(ISNUMBER(L68),ISNUMBER(G68),G68&gt;0),IF(OR(H68="g",H68="ml"),L68/G68*1000,IF(OR(H68="kg",H68="L"),L68/G68,"")),"")</f>
        <v/>
      </c>
      <c r="O68" s="32"/>
      <c r="P68" s="33"/>
      <c r="Q68" s="27"/>
      <c r="R68" s="27"/>
      <c r="S68" s="34"/>
      <c r="T68" s="34"/>
      <c r="U68" s="34"/>
      <c r="V68" s="34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34"/>
    </row>
    <row r="69" customFormat="false" ht="1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8"/>
      <c r="J69" s="27"/>
      <c r="K69" s="29"/>
      <c r="L69" s="29"/>
      <c r="M69" s="30" t="str">
        <f aca="false">IF(AND(ISNUMBER(K69),ISNUMBER(L69),K69&gt;0),(K69-L69)/K69,"")</f>
        <v/>
      </c>
      <c r="N69" s="31" t="str">
        <f aca="false">IF(AND(ISNUMBER(L69),ISNUMBER(G69),G69&gt;0),IF(OR(H69="g",H69="ml"),L69/G69*1000,IF(OR(H69="kg",H69="L"),L69/G69,"")),"")</f>
        <v/>
      </c>
      <c r="O69" s="32"/>
      <c r="P69" s="33"/>
      <c r="Q69" s="27"/>
      <c r="R69" s="27"/>
      <c r="S69" s="34"/>
      <c r="T69" s="34"/>
      <c r="U69" s="34"/>
      <c r="V69" s="34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34"/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8"/>
      <c r="J70" s="27"/>
      <c r="K70" s="29"/>
      <c r="L70" s="29"/>
      <c r="M70" s="30" t="str">
        <f aca="false">IF(AND(ISNUMBER(K70),ISNUMBER(L70),K70&gt;0),(K70-L70)/K70,"")</f>
        <v/>
      </c>
      <c r="N70" s="31" t="str">
        <f aca="false">IF(AND(ISNUMBER(L70),ISNUMBER(G70),G70&gt;0),IF(OR(H70="g",H70="ml"),L70/G70*1000,IF(OR(H70="kg",H70="L"),L70/G70,"")),"")</f>
        <v/>
      </c>
      <c r="O70" s="32"/>
      <c r="P70" s="33"/>
      <c r="Q70" s="27"/>
      <c r="R70" s="27"/>
      <c r="S70" s="34"/>
      <c r="T70" s="34"/>
      <c r="U70" s="34"/>
      <c r="V70" s="34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34"/>
    </row>
    <row r="71" customFormat="false" ht="15" hidden="false" customHeight="false" outlineLevel="0" collapsed="false">
      <c r="A71" s="27"/>
      <c r="B71" s="27"/>
      <c r="C71" s="27"/>
      <c r="D71" s="27"/>
      <c r="E71" s="27"/>
      <c r="F71" s="27"/>
      <c r="G71" s="27"/>
      <c r="H71" s="27"/>
      <c r="I71" s="28"/>
      <c r="J71" s="27"/>
      <c r="K71" s="29"/>
      <c r="L71" s="29"/>
      <c r="M71" s="30" t="str">
        <f aca="false">IF(AND(ISNUMBER(K71),ISNUMBER(L71),K71&gt;0),(K71-L71)/K71,"")</f>
        <v/>
      </c>
      <c r="N71" s="31" t="str">
        <f aca="false">IF(AND(ISNUMBER(L71),ISNUMBER(G71),G71&gt;0),IF(OR(H71="g",H71="ml"),L71/G71*1000,IF(OR(H71="kg",H71="L"),L71/G71,"")),"")</f>
        <v/>
      </c>
      <c r="O71" s="32"/>
      <c r="P71" s="33"/>
      <c r="Q71" s="27"/>
      <c r="R71" s="27"/>
      <c r="S71" s="34"/>
      <c r="T71" s="34"/>
      <c r="U71" s="34"/>
      <c r="V71" s="34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34"/>
    </row>
    <row r="72" customFormat="false" ht="15" hidden="false" customHeight="false" outlineLevel="0" collapsed="false">
      <c r="A72" s="27"/>
      <c r="B72" s="27"/>
      <c r="C72" s="27"/>
      <c r="D72" s="27"/>
      <c r="E72" s="27"/>
      <c r="F72" s="27"/>
      <c r="G72" s="27"/>
      <c r="H72" s="27"/>
      <c r="I72" s="28"/>
      <c r="J72" s="27"/>
      <c r="K72" s="29"/>
      <c r="L72" s="29"/>
      <c r="M72" s="30" t="str">
        <f aca="false">IF(AND(ISNUMBER(K72),ISNUMBER(L72),K72&gt;0),(K72-L72)/K72,"")</f>
        <v/>
      </c>
      <c r="N72" s="31" t="str">
        <f aca="false">IF(AND(ISNUMBER(L72),ISNUMBER(G72),G72&gt;0),IF(OR(H72="g",H72="ml"),L72/G72*1000,IF(OR(H72="kg",H72="L"),L72/G72,"")),"")</f>
        <v/>
      </c>
      <c r="O72" s="32"/>
      <c r="P72" s="33"/>
      <c r="Q72" s="27"/>
      <c r="R72" s="27"/>
      <c r="S72" s="34"/>
      <c r="T72" s="34"/>
      <c r="U72" s="34"/>
      <c r="V72" s="34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34"/>
    </row>
    <row r="73" customFormat="false" ht="15" hidden="false" customHeight="false" outlineLevel="0" collapsed="false">
      <c r="A73" s="27"/>
      <c r="B73" s="27"/>
      <c r="C73" s="27"/>
      <c r="D73" s="27"/>
      <c r="E73" s="27"/>
      <c r="F73" s="27"/>
      <c r="G73" s="27"/>
      <c r="H73" s="27"/>
      <c r="I73" s="28"/>
      <c r="J73" s="27"/>
      <c r="K73" s="29"/>
      <c r="L73" s="29"/>
      <c r="M73" s="30" t="str">
        <f aca="false">IF(AND(ISNUMBER(K73),ISNUMBER(L73),K73&gt;0),(K73-L73)/K73,"")</f>
        <v/>
      </c>
      <c r="N73" s="31" t="str">
        <f aca="false">IF(AND(ISNUMBER(L73),ISNUMBER(G73),G73&gt;0),IF(OR(H73="g",H73="ml"),L73/G73*1000,IF(OR(H73="kg",H73="L"),L73/G73,"")),"")</f>
        <v/>
      </c>
      <c r="O73" s="32"/>
      <c r="P73" s="33"/>
      <c r="Q73" s="27"/>
      <c r="R73" s="27"/>
      <c r="S73" s="34"/>
      <c r="T73" s="34"/>
      <c r="U73" s="34"/>
      <c r="V73" s="34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34"/>
    </row>
    <row r="74" customFormat="false" ht="15" hidden="false" customHeight="false" outlineLevel="0" collapsed="false">
      <c r="A74" s="27"/>
      <c r="B74" s="27"/>
      <c r="C74" s="27"/>
      <c r="D74" s="27"/>
      <c r="E74" s="27"/>
      <c r="F74" s="27"/>
      <c r="G74" s="27"/>
      <c r="H74" s="27"/>
      <c r="I74" s="28"/>
      <c r="J74" s="27"/>
      <c r="K74" s="29"/>
      <c r="L74" s="29"/>
      <c r="M74" s="30" t="str">
        <f aca="false">IF(AND(ISNUMBER(K74),ISNUMBER(L74),K74&gt;0),(K74-L74)/K74,"")</f>
        <v/>
      </c>
      <c r="N74" s="31" t="str">
        <f aca="false">IF(AND(ISNUMBER(L74),ISNUMBER(G74),G74&gt;0),IF(OR(H74="g",H74="ml"),L74/G74*1000,IF(OR(H74="kg",H74="L"),L74/G74,"")),"")</f>
        <v/>
      </c>
      <c r="O74" s="32"/>
      <c r="P74" s="33"/>
      <c r="Q74" s="27"/>
      <c r="R74" s="27"/>
      <c r="S74" s="34"/>
      <c r="T74" s="34"/>
      <c r="U74" s="34"/>
      <c r="V74" s="34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34"/>
    </row>
    <row r="75" customFormat="false" ht="15" hidden="false" customHeight="false" outlineLevel="0" collapsed="false">
      <c r="A75" s="27"/>
      <c r="B75" s="27"/>
      <c r="C75" s="27"/>
      <c r="D75" s="27"/>
      <c r="E75" s="27"/>
      <c r="F75" s="27"/>
      <c r="G75" s="27"/>
      <c r="H75" s="27"/>
      <c r="I75" s="28"/>
      <c r="J75" s="27"/>
      <c r="K75" s="29"/>
      <c r="L75" s="29"/>
      <c r="M75" s="30" t="str">
        <f aca="false">IF(AND(ISNUMBER(K75),ISNUMBER(L75),K75&gt;0),(K75-L75)/K75,"")</f>
        <v/>
      </c>
      <c r="N75" s="31" t="str">
        <f aca="false">IF(AND(ISNUMBER(L75),ISNUMBER(G75),G75&gt;0),IF(OR(H75="g",H75="ml"),L75/G75*1000,IF(OR(H75="kg",H75="L"),L75/G75,"")),"")</f>
        <v/>
      </c>
      <c r="O75" s="32"/>
      <c r="P75" s="33"/>
      <c r="Q75" s="27"/>
      <c r="R75" s="27"/>
      <c r="S75" s="34"/>
      <c r="T75" s="34"/>
      <c r="U75" s="34"/>
      <c r="V75" s="34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34"/>
    </row>
    <row r="76" customFormat="false" ht="15" hidden="false" customHeight="false" outlineLevel="0" collapsed="false">
      <c r="A76" s="27"/>
      <c r="B76" s="27"/>
      <c r="C76" s="27"/>
      <c r="D76" s="27"/>
      <c r="E76" s="27"/>
      <c r="F76" s="27"/>
      <c r="G76" s="27"/>
      <c r="H76" s="27"/>
      <c r="I76" s="28"/>
      <c r="J76" s="27"/>
      <c r="K76" s="29"/>
      <c r="L76" s="29"/>
      <c r="M76" s="30" t="str">
        <f aca="false">IF(AND(ISNUMBER(K76),ISNUMBER(L76),K76&gt;0),(K76-L76)/K76,"")</f>
        <v/>
      </c>
      <c r="N76" s="31" t="str">
        <f aca="false">IF(AND(ISNUMBER(L76),ISNUMBER(G76),G76&gt;0),IF(OR(H76="g",H76="ml"),L76/G76*1000,IF(OR(H76="kg",H76="L"),L76/G76,"")),"")</f>
        <v/>
      </c>
      <c r="O76" s="32"/>
      <c r="P76" s="33"/>
      <c r="Q76" s="27"/>
      <c r="R76" s="27"/>
      <c r="S76" s="34"/>
      <c r="T76" s="34"/>
      <c r="U76" s="34"/>
      <c r="V76" s="34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34"/>
    </row>
    <row r="77" customFormat="false" ht="15" hidden="false" customHeight="false" outlineLevel="0" collapsed="false">
      <c r="A77" s="27"/>
      <c r="B77" s="27"/>
      <c r="C77" s="27"/>
      <c r="D77" s="27"/>
      <c r="E77" s="27"/>
      <c r="F77" s="27"/>
      <c r="G77" s="27"/>
      <c r="H77" s="27"/>
      <c r="I77" s="28"/>
      <c r="J77" s="27"/>
      <c r="K77" s="29"/>
      <c r="L77" s="29"/>
      <c r="M77" s="30" t="str">
        <f aca="false">IF(AND(ISNUMBER(K77),ISNUMBER(L77),K77&gt;0),(K77-L77)/K77,"")</f>
        <v/>
      </c>
      <c r="N77" s="31" t="str">
        <f aca="false">IF(AND(ISNUMBER(L77),ISNUMBER(G77),G77&gt;0),IF(OR(H77="g",H77="ml"),L77/G77*1000,IF(OR(H77="kg",H77="L"),L77/G77,"")),"")</f>
        <v/>
      </c>
      <c r="O77" s="32"/>
      <c r="P77" s="33"/>
      <c r="Q77" s="27"/>
      <c r="R77" s="27"/>
      <c r="S77" s="34"/>
      <c r="T77" s="34"/>
      <c r="U77" s="34"/>
      <c r="V77" s="34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34"/>
    </row>
    <row r="78" customFormat="false" ht="15" hidden="false" customHeight="false" outlineLevel="0" collapsed="false">
      <c r="A78" s="27"/>
      <c r="B78" s="27"/>
      <c r="C78" s="27"/>
      <c r="D78" s="27"/>
      <c r="E78" s="27"/>
      <c r="F78" s="27"/>
      <c r="G78" s="27"/>
      <c r="H78" s="27"/>
      <c r="I78" s="28"/>
      <c r="J78" s="27"/>
      <c r="K78" s="29"/>
      <c r="L78" s="29"/>
      <c r="M78" s="30" t="str">
        <f aca="false">IF(AND(ISNUMBER(K78),ISNUMBER(L78),K78&gt;0),(K78-L78)/K78,"")</f>
        <v/>
      </c>
      <c r="N78" s="31" t="str">
        <f aca="false">IF(AND(ISNUMBER(L78),ISNUMBER(G78),G78&gt;0),IF(OR(H78="g",H78="ml"),L78/G78*1000,IF(OR(H78="kg",H78="L"),L78/G78,"")),"")</f>
        <v/>
      </c>
      <c r="O78" s="32"/>
      <c r="P78" s="33"/>
      <c r="Q78" s="27"/>
      <c r="R78" s="27"/>
      <c r="S78" s="34"/>
      <c r="T78" s="34"/>
      <c r="U78" s="34"/>
      <c r="V78" s="34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34"/>
    </row>
    <row r="79" customFormat="false" ht="15" hidden="false" customHeight="false" outlineLevel="0" collapsed="false">
      <c r="A79" s="27"/>
      <c r="B79" s="27"/>
      <c r="C79" s="27"/>
      <c r="D79" s="27"/>
      <c r="E79" s="27"/>
      <c r="F79" s="27"/>
      <c r="G79" s="27"/>
      <c r="H79" s="27"/>
      <c r="I79" s="28"/>
      <c r="J79" s="27"/>
      <c r="K79" s="29"/>
      <c r="L79" s="29"/>
      <c r="M79" s="30" t="str">
        <f aca="false">IF(AND(ISNUMBER(K79),ISNUMBER(L79),K79&gt;0),(K79-L79)/K79,"")</f>
        <v/>
      </c>
      <c r="N79" s="31" t="str">
        <f aca="false">IF(AND(ISNUMBER(L79),ISNUMBER(G79),G79&gt;0),IF(OR(H79="g",H79="ml"),L79/G79*1000,IF(OR(H79="kg",H79="L"),L79/G79,"")),"")</f>
        <v/>
      </c>
      <c r="O79" s="32"/>
      <c r="P79" s="33"/>
      <c r="Q79" s="27"/>
      <c r="R79" s="27"/>
      <c r="S79" s="34"/>
      <c r="T79" s="34"/>
      <c r="U79" s="34"/>
      <c r="V79" s="34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34"/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8"/>
      <c r="J80" s="27"/>
      <c r="K80" s="29"/>
      <c r="L80" s="29"/>
      <c r="M80" s="30" t="str">
        <f aca="false">IF(AND(ISNUMBER(K80),ISNUMBER(L80),K80&gt;0),(K80-L80)/K80,"")</f>
        <v/>
      </c>
      <c r="N80" s="31" t="str">
        <f aca="false">IF(AND(ISNUMBER(L80),ISNUMBER(G80),G80&gt;0),IF(OR(H80="g",H80="ml"),L80/G80*1000,IF(OR(H80="kg",H80="L"),L80/G80,"")),"")</f>
        <v/>
      </c>
      <c r="O80" s="32"/>
      <c r="P80" s="33"/>
      <c r="Q80" s="27"/>
      <c r="R80" s="27"/>
      <c r="S80" s="34"/>
      <c r="T80" s="34"/>
      <c r="U80" s="34"/>
      <c r="V80" s="34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34"/>
    </row>
    <row r="81" customFormat="false" ht="1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8"/>
      <c r="J81" s="27"/>
      <c r="K81" s="29"/>
      <c r="L81" s="29"/>
      <c r="M81" s="30" t="str">
        <f aca="false">IF(AND(ISNUMBER(K81),ISNUMBER(L81),K81&gt;0),(K81-L81)/K81,"")</f>
        <v/>
      </c>
      <c r="N81" s="31" t="str">
        <f aca="false">IF(AND(ISNUMBER(L81),ISNUMBER(G81),G81&gt;0),IF(OR(H81="g",H81="ml"),L81/G81*1000,IF(OR(H81="kg",H81="L"),L81/G81,"")),"")</f>
        <v/>
      </c>
      <c r="O81" s="32"/>
      <c r="P81" s="33"/>
      <c r="Q81" s="27"/>
      <c r="R81" s="27"/>
      <c r="S81" s="34"/>
      <c r="T81" s="34"/>
      <c r="U81" s="34"/>
      <c r="V81" s="34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34"/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8"/>
      <c r="J82" s="27"/>
      <c r="K82" s="29"/>
      <c r="L82" s="29"/>
      <c r="M82" s="30" t="str">
        <f aca="false">IF(AND(ISNUMBER(K82),ISNUMBER(L82),K82&gt;0),(K82-L82)/K82,"")</f>
        <v/>
      </c>
      <c r="N82" s="31" t="str">
        <f aca="false">IF(AND(ISNUMBER(L82),ISNUMBER(G82),G82&gt;0),IF(OR(H82="g",H82="ml"),L82/G82*1000,IF(OR(H82="kg",H82="L"),L82/G82,"")),"")</f>
        <v/>
      </c>
      <c r="O82" s="32"/>
      <c r="P82" s="33"/>
      <c r="Q82" s="27"/>
      <c r="R82" s="27"/>
      <c r="S82" s="34"/>
      <c r="T82" s="34"/>
      <c r="U82" s="34"/>
      <c r="V82" s="34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34"/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27"/>
      <c r="G83" s="27"/>
      <c r="H83" s="27"/>
      <c r="I83" s="28"/>
      <c r="J83" s="27"/>
      <c r="K83" s="29"/>
      <c r="L83" s="29"/>
      <c r="M83" s="30" t="str">
        <f aca="false">IF(AND(ISNUMBER(K83),ISNUMBER(L83),K83&gt;0),(K83-L83)/K83,"")</f>
        <v/>
      </c>
      <c r="N83" s="31" t="str">
        <f aca="false">IF(AND(ISNUMBER(L83),ISNUMBER(G83),G83&gt;0),IF(OR(H83="g",H83="ml"),L83/G83*1000,IF(OR(H83="kg",H83="L"),L83/G83,"")),"")</f>
        <v/>
      </c>
      <c r="O83" s="32"/>
      <c r="P83" s="33"/>
      <c r="Q83" s="27"/>
      <c r="R83" s="27"/>
      <c r="S83" s="34"/>
      <c r="T83" s="34"/>
      <c r="U83" s="34"/>
      <c r="V83" s="34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34"/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27"/>
      <c r="H84" s="27"/>
      <c r="I84" s="28"/>
      <c r="J84" s="27"/>
      <c r="K84" s="29"/>
      <c r="L84" s="29"/>
      <c r="M84" s="30" t="str">
        <f aca="false">IF(AND(ISNUMBER(K84),ISNUMBER(L84),K84&gt;0),(K84-L84)/K84,"")</f>
        <v/>
      </c>
      <c r="N84" s="31" t="str">
        <f aca="false">IF(AND(ISNUMBER(L84),ISNUMBER(G84),G84&gt;0),IF(OR(H84="g",H84="ml"),L84/G84*1000,IF(OR(H84="kg",H84="L"),L84/G84,"")),"")</f>
        <v/>
      </c>
      <c r="O84" s="32"/>
      <c r="P84" s="33"/>
      <c r="Q84" s="27"/>
      <c r="R84" s="27"/>
      <c r="S84" s="34"/>
      <c r="T84" s="34"/>
      <c r="U84" s="34"/>
      <c r="V84" s="34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34"/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27"/>
      <c r="G85" s="27"/>
      <c r="H85" s="27"/>
      <c r="I85" s="28"/>
      <c r="J85" s="27"/>
      <c r="K85" s="29"/>
      <c r="L85" s="29"/>
      <c r="M85" s="30" t="str">
        <f aca="false">IF(AND(ISNUMBER(K85),ISNUMBER(L85),K85&gt;0),(K85-L85)/K85,"")</f>
        <v/>
      </c>
      <c r="N85" s="31" t="str">
        <f aca="false">IF(AND(ISNUMBER(L85),ISNUMBER(G85),G85&gt;0),IF(OR(H85="g",H85="ml"),L85/G85*1000,IF(OR(H85="kg",H85="L"),L85/G85,"")),"")</f>
        <v/>
      </c>
      <c r="O85" s="32"/>
      <c r="P85" s="33"/>
      <c r="Q85" s="27"/>
      <c r="R85" s="27"/>
      <c r="S85" s="34"/>
      <c r="T85" s="34"/>
      <c r="U85" s="34"/>
      <c r="V85" s="34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34"/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27"/>
      <c r="H86" s="27"/>
      <c r="I86" s="28"/>
      <c r="J86" s="27"/>
      <c r="K86" s="29"/>
      <c r="L86" s="29"/>
      <c r="M86" s="30" t="str">
        <f aca="false">IF(AND(ISNUMBER(K86),ISNUMBER(L86),K86&gt;0),(K86-L86)/K86,"")</f>
        <v/>
      </c>
      <c r="N86" s="31" t="str">
        <f aca="false">IF(AND(ISNUMBER(L86),ISNUMBER(G86),G86&gt;0),IF(OR(H86="g",H86="ml"),L86/G86*1000,IF(OR(H86="kg",H86="L"),L86/G86,"")),"")</f>
        <v/>
      </c>
      <c r="O86" s="32"/>
      <c r="P86" s="33"/>
      <c r="Q86" s="27"/>
      <c r="R86" s="27"/>
      <c r="S86" s="34"/>
      <c r="T86" s="34"/>
      <c r="U86" s="34"/>
      <c r="V86" s="34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34"/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27"/>
      <c r="G87" s="27"/>
      <c r="H87" s="27"/>
      <c r="I87" s="28"/>
      <c r="J87" s="27"/>
      <c r="K87" s="29"/>
      <c r="L87" s="29"/>
      <c r="M87" s="30" t="str">
        <f aca="false">IF(AND(ISNUMBER(K87),ISNUMBER(L87),K87&gt;0),(K87-L87)/K87,"")</f>
        <v/>
      </c>
      <c r="N87" s="31" t="str">
        <f aca="false">IF(AND(ISNUMBER(L87),ISNUMBER(G87),G87&gt;0),IF(OR(H87="g",H87="ml"),L87/G87*1000,IF(OR(H87="kg",H87="L"),L87/G87,"")),"")</f>
        <v/>
      </c>
      <c r="O87" s="32"/>
      <c r="P87" s="33"/>
      <c r="Q87" s="27"/>
      <c r="R87" s="27"/>
      <c r="S87" s="34"/>
      <c r="T87" s="34"/>
      <c r="U87" s="34"/>
      <c r="V87" s="34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34"/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27"/>
      <c r="H88" s="27"/>
      <c r="I88" s="28"/>
      <c r="J88" s="27"/>
      <c r="K88" s="29"/>
      <c r="L88" s="29"/>
      <c r="M88" s="30" t="str">
        <f aca="false">IF(AND(ISNUMBER(K88),ISNUMBER(L88),K88&gt;0),(K88-L88)/K88,"")</f>
        <v/>
      </c>
      <c r="N88" s="31" t="str">
        <f aca="false">IF(AND(ISNUMBER(L88),ISNUMBER(G88),G88&gt;0),IF(OR(H88="g",H88="ml"),L88/G88*1000,IF(OR(H88="kg",H88="L"),L88/G88,"")),"")</f>
        <v/>
      </c>
      <c r="O88" s="32"/>
      <c r="P88" s="33"/>
      <c r="Q88" s="27"/>
      <c r="R88" s="27"/>
      <c r="S88" s="34"/>
      <c r="T88" s="34"/>
      <c r="U88" s="34"/>
      <c r="V88" s="34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34"/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27"/>
      <c r="G89" s="27"/>
      <c r="H89" s="27"/>
      <c r="I89" s="28"/>
      <c r="J89" s="27"/>
      <c r="K89" s="29"/>
      <c r="L89" s="29"/>
      <c r="M89" s="30" t="str">
        <f aca="false">IF(AND(ISNUMBER(K89),ISNUMBER(L89),K89&gt;0),(K89-L89)/K89,"")</f>
        <v/>
      </c>
      <c r="N89" s="31" t="str">
        <f aca="false">IF(AND(ISNUMBER(L89),ISNUMBER(G89),G89&gt;0),IF(OR(H89="g",H89="ml"),L89/G89*1000,IF(OR(H89="kg",H89="L"),L89/G89,"")),"")</f>
        <v/>
      </c>
      <c r="O89" s="32"/>
      <c r="P89" s="33"/>
      <c r="Q89" s="27"/>
      <c r="R89" s="27"/>
      <c r="S89" s="34"/>
      <c r="T89" s="34"/>
      <c r="U89" s="34"/>
      <c r="V89" s="34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34"/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27"/>
      <c r="H90" s="27"/>
      <c r="I90" s="28"/>
      <c r="J90" s="27"/>
      <c r="K90" s="29"/>
      <c r="L90" s="29"/>
      <c r="M90" s="30" t="str">
        <f aca="false">IF(AND(ISNUMBER(K90),ISNUMBER(L90),K90&gt;0),(K90-L90)/K90,"")</f>
        <v/>
      </c>
      <c r="N90" s="31" t="str">
        <f aca="false">IF(AND(ISNUMBER(L90),ISNUMBER(G90),G90&gt;0),IF(OR(H90="g",H90="ml"),L90/G90*1000,IF(OR(H90="kg",H90="L"),L90/G90,"")),"")</f>
        <v/>
      </c>
      <c r="O90" s="32"/>
      <c r="P90" s="33"/>
      <c r="Q90" s="27"/>
      <c r="R90" s="27"/>
      <c r="S90" s="34"/>
      <c r="T90" s="34"/>
      <c r="U90" s="34"/>
      <c r="V90" s="34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34"/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27"/>
      <c r="G91" s="27"/>
      <c r="H91" s="27"/>
      <c r="I91" s="28"/>
      <c r="J91" s="27"/>
      <c r="K91" s="29"/>
      <c r="L91" s="29"/>
      <c r="M91" s="30" t="str">
        <f aca="false">IF(AND(ISNUMBER(K91),ISNUMBER(L91),K91&gt;0),(K91-L91)/K91,"")</f>
        <v/>
      </c>
      <c r="N91" s="31" t="str">
        <f aca="false">IF(AND(ISNUMBER(L91),ISNUMBER(G91),G91&gt;0),IF(OR(H91="g",H91="ml"),L91/G91*1000,IF(OR(H91="kg",H91="L"),L91/G91,"")),"")</f>
        <v/>
      </c>
      <c r="O91" s="32"/>
      <c r="P91" s="33"/>
      <c r="Q91" s="27"/>
      <c r="R91" s="27"/>
      <c r="S91" s="34"/>
      <c r="T91" s="34"/>
      <c r="U91" s="34"/>
      <c r="V91" s="34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34"/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27"/>
      <c r="H92" s="27"/>
      <c r="I92" s="28"/>
      <c r="J92" s="27"/>
      <c r="K92" s="29"/>
      <c r="L92" s="29"/>
      <c r="M92" s="30" t="str">
        <f aca="false">IF(AND(ISNUMBER(K92),ISNUMBER(L92),K92&gt;0),(K92-L92)/K92,"")</f>
        <v/>
      </c>
      <c r="N92" s="31" t="str">
        <f aca="false">IF(AND(ISNUMBER(L92),ISNUMBER(G92),G92&gt;0),IF(OR(H92="g",H92="ml"),L92/G92*1000,IF(OR(H92="kg",H92="L"),L92/G92,"")),"")</f>
        <v/>
      </c>
      <c r="O92" s="32"/>
      <c r="P92" s="33"/>
      <c r="Q92" s="27"/>
      <c r="R92" s="27"/>
      <c r="S92" s="34"/>
      <c r="T92" s="34"/>
      <c r="U92" s="34"/>
      <c r="V92" s="34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34"/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27"/>
      <c r="G93" s="27"/>
      <c r="H93" s="27"/>
      <c r="I93" s="28"/>
      <c r="J93" s="27"/>
      <c r="K93" s="29"/>
      <c r="L93" s="29"/>
      <c r="M93" s="30" t="str">
        <f aca="false">IF(AND(ISNUMBER(K93),ISNUMBER(L93),K93&gt;0),(K93-L93)/K93,"")</f>
        <v/>
      </c>
      <c r="N93" s="31" t="str">
        <f aca="false">IF(AND(ISNUMBER(L93),ISNUMBER(G93),G93&gt;0),IF(OR(H93="g",H93="ml"),L93/G93*1000,IF(OR(H93="kg",H93="L"),L93/G93,"")),"")</f>
        <v/>
      </c>
      <c r="O93" s="32"/>
      <c r="P93" s="33"/>
      <c r="Q93" s="27"/>
      <c r="R93" s="27"/>
      <c r="S93" s="34"/>
      <c r="T93" s="34"/>
      <c r="U93" s="34"/>
      <c r="V93" s="34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34"/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8"/>
      <c r="J94" s="27"/>
      <c r="K94" s="29"/>
      <c r="L94" s="29"/>
      <c r="M94" s="30" t="str">
        <f aca="false">IF(AND(ISNUMBER(K94),ISNUMBER(L94),K94&gt;0),(K94-L94)/K94,"")</f>
        <v/>
      </c>
      <c r="N94" s="31" t="str">
        <f aca="false">IF(AND(ISNUMBER(L94),ISNUMBER(G94),G94&gt;0),IF(OR(H94="g",H94="ml"),L94/G94*1000,IF(OR(H94="kg",H94="L"),L94/G94,"")),"")</f>
        <v/>
      </c>
      <c r="O94" s="32"/>
      <c r="P94" s="33"/>
      <c r="Q94" s="27"/>
      <c r="R94" s="27"/>
      <c r="S94" s="34"/>
      <c r="T94" s="34"/>
      <c r="U94" s="34"/>
      <c r="V94" s="34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34"/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8"/>
      <c r="J95" s="27"/>
      <c r="K95" s="29"/>
      <c r="L95" s="29"/>
      <c r="M95" s="30" t="str">
        <f aca="false">IF(AND(ISNUMBER(K95),ISNUMBER(L95),K95&gt;0),(K95-L95)/K95,"")</f>
        <v/>
      </c>
      <c r="N95" s="31" t="str">
        <f aca="false">IF(AND(ISNUMBER(L95),ISNUMBER(G95),G95&gt;0),IF(OR(H95="g",H95="ml"),L95/G95*1000,IF(OR(H95="kg",H95="L"),L95/G95,"")),"")</f>
        <v/>
      </c>
      <c r="O95" s="32"/>
      <c r="P95" s="33"/>
      <c r="Q95" s="27"/>
      <c r="R95" s="27"/>
      <c r="S95" s="34"/>
      <c r="T95" s="34"/>
      <c r="U95" s="34"/>
      <c r="V95" s="34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34"/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8"/>
      <c r="J96" s="27"/>
      <c r="K96" s="29"/>
      <c r="L96" s="29"/>
      <c r="M96" s="30" t="str">
        <f aca="false">IF(AND(ISNUMBER(K96),ISNUMBER(L96),K96&gt;0),(K96-L96)/K96,"")</f>
        <v/>
      </c>
      <c r="N96" s="31" t="str">
        <f aca="false">IF(AND(ISNUMBER(L96),ISNUMBER(G96),G96&gt;0),IF(OR(H96="g",H96="ml"),L96/G96*1000,IF(OR(H96="kg",H96="L"),L96/G96,"")),"")</f>
        <v/>
      </c>
      <c r="O96" s="32"/>
      <c r="P96" s="33"/>
      <c r="Q96" s="27"/>
      <c r="R96" s="27"/>
      <c r="S96" s="34"/>
      <c r="T96" s="34"/>
      <c r="U96" s="34"/>
      <c r="V96" s="34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34"/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27"/>
      <c r="G97" s="27"/>
      <c r="H97" s="27"/>
      <c r="I97" s="28"/>
      <c r="J97" s="27"/>
      <c r="K97" s="29"/>
      <c r="L97" s="29"/>
      <c r="M97" s="30" t="str">
        <f aca="false">IF(AND(ISNUMBER(K97),ISNUMBER(L97),K97&gt;0),(K97-L97)/K97,"")</f>
        <v/>
      </c>
      <c r="N97" s="31" t="str">
        <f aca="false">IF(AND(ISNUMBER(L97),ISNUMBER(G97),G97&gt;0),IF(OR(H97="g",H97="ml"),L97/G97*1000,IF(OR(H97="kg",H97="L"),L97/G97,"")),"")</f>
        <v/>
      </c>
      <c r="O97" s="32"/>
      <c r="P97" s="33"/>
      <c r="Q97" s="27"/>
      <c r="R97" s="27"/>
      <c r="S97" s="34"/>
      <c r="T97" s="34"/>
      <c r="U97" s="34"/>
      <c r="V97" s="34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34"/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I98" s="28"/>
      <c r="J98" s="27"/>
      <c r="K98" s="29"/>
      <c r="L98" s="29"/>
      <c r="M98" s="30" t="str">
        <f aca="false">IF(AND(ISNUMBER(K98),ISNUMBER(L98),K98&gt;0),(K98-L98)/K98,"")</f>
        <v/>
      </c>
      <c r="N98" s="31" t="str">
        <f aca="false">IF(AND(ISNUMBER(L98),ISNUMBER(G98),G98&gt;0),IF(OR(H98="g",H98="ml"),L98/G98*1000,IF(OR(H98="kg",H98="L"),L98/G98,"")),"")</f>
        <v/>
      </c>
      <c r="O98" s="32"/>
      <c r="P98" s="33"/>
      <c r="Q98" s="27"/>
      <c r="R98" s="27"/>
      <c r="S98" s="34"/>
      <c r="T98" s="34"/>
      <c r="U98" s="34"/>
      <c r="V98" s="34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34"/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I99" s="28"/>
      <c r="J99" s="27"/>
      <c r="K99" s="29"/>
      <c r="L99" s="29"/>
      <c r="M99" s="30" t="str">
        <f aca="false">IF(AND(ISNUMBER(K99),ISNUMBER(L99),K99&gt;0),(K99-L99)/K99,"")</f>
        <v/>
      </c>
      <c r="N99" s="31" t="str">
        <f aca="false">IF(AND(ISNUMBER(L99),ISNUMBER(G99),G99&gt;0),IF(OR(H99="g",H99="ml"),L99/G99*1000,IF(OR(H99="kg",H99="L"),L99/G99,"")),"")</f>
        <v/>
      </c>
      <c r="O99" s="32"/>
      <c r="P99" s="33"/>
      <c r="Q99" s="27"/>
      <c r="R99" s="27"/>
      <c r="S99" s="34"/>
      <c r="T99" s="34"/>
      <c r="U99" s="34"/>
      <c r="V99" s="34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34"/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27"/>
      <c r="H100" s="27"/>
      <c r="I100" s="28"/>
      <c r="J100" s="27"/>
      <c r="K100" s="29"/>
      <c r="L100" s="29"/>
      <c r="M100" s="30" t="str">
        <f aca="false">IF(AND(ISNUMBER(K100),ISNUMBER(L100),K100&gt;0),(K100-L100)/K100,"")</f>
        <v/>
      </c>
      <c r="N100" s="31" t="str">
        <f aca="false">IF(AND(ISNUMBER(L100),ISNUMBER(G100),G100&gt;0),IF(OR(H100="g",H100="ml"),L100/G100*1000,IF(OR(H100="kg",H100="L"),L100/G100,"")),"")</f>
        <v/>
      </c>
      <c r="O100" s="32"/>
      <c r="P100" s="33"/>
      <c r="Q100" s="27"/>
      <c r="R100" s="27"/>
      <c r="S100" s="34"/>
      <c r="T100" s="34"/>
      <c r="U100" s="34"/>
      <c r="V100" s="34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34"/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27"/>
      <c r="G101" s="27"/>
      <c r="H101" s="27"/>
      <c r="I101" s="28"/>
      <c r="J101" s="27"/>
      <c r="K101" s="29"/>
      <c r="L101" s="29"/>
      <c r="M101" s="30" t="str">
        <f aca="false">IF(AND(ISNUMBER(K101),ISNUMBER(L101),K101&gt;0),(K101-L101)/K101,"")</f>
        <v/>
      </c>
      <c r="N101" s="31" t="str">
        <f aca="false">IF(AND(ISNUMBER(L101),ISNUMBER(G101),G101&gt;0),IF(OR(H101="g",H101="ml"),L101/G101*1000,IF(OR(H101="kg",H101="L"),L101/G101,"")),"")</f>
        <v/>
      </c>
      <c r="O101" s="32"/>
      <c r="P101" s="33"/>
      <c r="Q101" s="27"/>
      <c r="R101" s="27"/>
      <c r="S101" s="34"/>
      <c r="T101" s="34"/>
      <c r="U101" s="34"/>
      <c r="V101" s="34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34"/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27"/>
      <c r="H102" s="27"/>
      <c r="I102" s="28"/>
      <c r="J102" s="27"/>
      <c r="K102" s="29"/>
      <c r="L102" s="29"/>
      <c r="M102" s="30" t="str">
        <f aca="false">IF(AND(ISNUMBER(K102),ISNUMBER(L102),K102&gt;0),(K102-L102)/K102,"")</f>
        <v/>
      </c>
      <c r="N102" s="31" t="str">
        <f aca="false">IF(AND(ISNUMBER(L102),ISNUMBER(G102),G102&gt;0),IF(OR(H102="g",H102="ml"),L102/G102*1000,IF(OR(H102="kg",H102="L"),L102/G102,"")),"")</f>
        <v/>
      </c>
      <c r="O102" s="32"/>
      <c r="P102" s="33"/>
      <c r="Q102" s="27"/>
      <c r="R102" s="27"/>
      <c r="S102" s="34"/>
      <c r="T102" s="34"/>
      <c r="U102" s="34"/>
      <c r="V102" s="34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34"/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27"/>
      <c r="G103" s="27"/>
      <c r="H103" s="27"/>
      <c r="I103" s="28"/>
      <c r="J103" s="27"/>
      <c r="K103" s="29"/>
      <c r="L103" s="29"/>
      <c r="M103" s="30" t="str">
        <f aca="false">IF(AND(ISNUMBER(K103),ISNUMBER(L103),K103&gt;0),(K103-L103)/K103,"")</f>
        <v/>
      </c>
      <c r="N103" s="31" t="str">
        <f aca="false">IF(AND(ISNUMBER(L103),ISNUMBER(G103),G103&gt;0),IF(OR(H103="g",H103="ml"),L103/G103*1000,IF(OR(H103="kg",H103="L"),L103/G103,"")),"")</f>
        <v/>
      </c>
      <c r="O103" s="32"/>
      <c r="P103" s="33"/>
      <c r="Q103" s="27"/>
      <c r="R103" s="27"/>
      <c r="S103" s="34"/>
      <c r="T103" s="34"/>
      <c r="U103" s="34"/>
      <c r="V103" s="34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34"/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27"/>
      <c r="H104" s="27"/>
      <c r="I104" s="28"/>
      <c r="J104" s="27"/>
      <c r="K104" s="29"/>
      <c r="L104" s="29"/>
      <c r="M104" s="30" t="str">
        <f aca="false">IF(AND(ISNUMBER(K104),ISNUMBER(L104),K104&gt;0),(K104-L104)/K104,"")</f>
        <v/>
      </c>
      <c r="N104" s="31" t="str">
        <f aca="false">IF(AND(ISNUMBER(L104),ISNUMBER(G104),G104&gt;0),IF(OR(H104="g",H104="ml"),L104/G104*1000,IF(OR(H104="kg",H104="L"),L104/G104,"")),"")</f>
        <v/>
      </c>
      <c r="O104" s="32"/>
      <c r="P104" s="33"/>
      <c r="Q104" s="27"/>
      <c r="R104" s="27"/>
      <c r="S104" s="34"/>
      <c r="T104" s="34"/>
      <c r="U104" s="34"/>
      <c r="V104" s="34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34"/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27"/>
      <c r="G105" s="27"/>
      <c r="H105" s="27"/>
      <c r="I105" s="28"/>
      <c r="J105" s="27"/>
      <c r="K105" s="29"/>
      <c r="L105" s="29"/>
      <c r="M105" s="30" t="str">
        <f aca="false">IF(AND(ISNUMBER(K105),ISNUMBER(L105),K105&gt;0),(K105-L105)/K105,"")</f>
        <v/>
      </c>
      <c r="N105" s="31" t="str">
        <f aca="false">IF(AND(ISNUMBER(L105),ISNUMBER(G105),G105&gt;0),IF(OR(H105="g",H105="ml"),L105/G105*1000,IF(OR(H105="kg",H105="L"),L105/G105,"")),"")</f>
        <v/>
      </c>
      <c r="O105" s="32"/>
      <c r="P105" s="33"/>
      <c r="Q105" s="27"/>
      <c r="R105" s="27"/>
      <c r="S105" s="34"/>
      <c r="T105" s="34"/>
      <c r="U105" s="34"/>
      <c r="V105" s="34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34"/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27"/>
      <c r="G106" s="27"/>
      <c r="H106" s="27"/>
      <c r="I106" s="28"/>
      <c r="J106" s="27"/>
      <c r="K106" s="29"/>
      <c r="L106" s="29"/>
      <c r="M106" s="30" t="str">
        <f aca="false">IF(AND(ISNUMBER(K106),ISNUMBER(L106),K106&gt;0),(K106-L106)/K106,"")</f>
        <v/>
      </c>
      <c r="N106" s="31" t="str">
        <f aca="false">IF(AND(ISNUMBER(L106),ISNUMBER(G106),G106&gt;0),IF(OR(H106="g",H106="ml"),L106/G106*1000,IF(OR(H106="kg",H106="L"),L106/G106,"")),"")</f>
        <v/>
      </c>
      <c r="O106" s="32"/>
      <c r="P106" s="33"/>
      <c r="Q106" s="27"/>
      <c r="R106" s="27"/>
      <c r="S106" s="34"/>
      <c r="T106" s="34"/>
      <c r="U106" s="34"/>
      <c r="V106" s="34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34"/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I107" s="28"/>
      <c r="J107" s="27"/>
      <c r="K107" s="29"/>
      <c r="L107" s="29"/>
      <c r="M107" s="30" t="str">
        <f aca="false">IF(AND(ISNUMBER(K107),ISNUMBER(L107),K107&gt;0),(K107-L107)/K107,"")</f>
        <v/>
      </c>
      <c r="N107" s="31" t="str">
        <f aca="false">IF(AND(ISNUMBER(L107),ISNUMBER(G107),G107&gt;0),IF(OR(H107="g",H107="ml"),L107/G107*1000,IF(OR(H107="kg",H107="L"),L107/G107,"")),"")</f>
        <v/>
      </c>
      <c r="O107" s="32"/>
      <c r="P107" s="33"/>
      <c r="Q107" s="27"/>
      <c r="R107" s="27"/>
      <c r="S107" s="34"/>
      <c r="T107" s="34"/>
      <c r="U107" s="34"/>
      <c r="V107" s="34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34"/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27"/>
      <c r="G108" s="27"/>
      <c r="H108" s="27"/>
      <c r="I108" s="28"/>
      <c r="J108" s="27"/>
      <c r="K108" s="29"/>
      <c r="L108" s="29"/>
      <c r="M108" s="30" t="str">
        <f aca="false">IF(AND(ISNUMBER(K108),ISNUMBER(L108),K108&gt;0),(K108-L108)/K108,"")</f>
        <v/>
      </c>
      <c r="N108" s="31" t="str">
        <f aca="false">IF(AND(ISNUMBER(L108),ISNUMBER(G108),G108&gt;0),IF(OR(H108="g",H108="ml"),L108/G108*1000,IF(OR(H108="kg",H108="L"),L108/G108,"")),"")</f>
        <v/>
      </c>
      <c r="O108" s="32"/>
      <c r="P108" s="33"/>
      <c r="Q108" s="27"/>
      <c r="R108" s="27"/>
      <c r="S108" s="34"/>
      <c r="T108" s="34"/>
      <c r="U108" s="34"/>
      <c r="V108" s="34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34"/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27"/>
      <c r="G109" s="27"/>
      <c r="H109" s="27"/>
      <c r="I109" s="28"/>
      <c r="J109" s="27"/>
      <c r="K109" s="29"/>
      <c r="L109" s="29"/>
      <c r="M109" s="30" t="str">
        <f aca="false">IF(AND(ISNUMBER(K109),ISNUMBER(L109),K109&gt;0),(K109-L109)/K109,"")</f>
        <v/>
      </c>
      <c r="N109" s="31" t="str">
        <f aca="false">IF(AND(ISNUMBER(L109),ISNUMBER(G109),G109&gt;0),IF(OR(H109="g",H109="ml"),L109/G109*1000,IF(OR(H109="kg",H109="L"),L109/G109,"")),"")</f>
        <v/>
      </c>
      <c r="O109" s="32"/>
      <c r="P109" s="33"/>
      <c r="Q109" s="27"/>
      <c r="R109" s="27"/>
      <c r="S109" s="34"/>
      <c r="T109" s="34"/>
      <c r="U109" s="34"/>
      <c r="V109" s="34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34"/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27"/>
      <c r="G110" s="27"/>
      <c r="H110" s="27"/>
      <c r="I110" s="28"/>
      <c r="J110" s="27"/>
      <c r="K110" s="29"/>
      <c r="L110" s="29"/>
      <c r="M110" s="30" t="str">
        <f aca="false">IF(AND(ISNUMBER(K110),ISNUMBER(L110),K110&gt;0),(K110-L110)/K110,"")</f>
        <v/>
      </c>
      <c r="N110" s="31" t="str">
        <f aca="false">IF(AND(ISNUMBER(L110),ISNUMBER(G110),G110&gt;0),IF(OR(H110="g",H110="ml"),L110/G110*1000,IF(OR(H110="kg",H110="L"),L110/G110,"")),"")</f>
        <v/>
      </c>
      <c r="O110" s="32"/>
      <c r="P110" s="33"/>
      <c r="Q110" s="27"/>
      <c r="R110" s="27"/>
      <c r="S110" s="34"/>
      <c r="T110" s="34"/>
      <c r="U110" s="34"/>
      <c r="V110" s="34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34"/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27"/>
      <c r="G111" s="27"/>
      <c r="H111" s="27"/>
      <c r="I111" s="28"/>
      <c r="J111" s="27"/>
      <c r="K111" s="29"/>
      <c r="L111" s="29"/>
      <c r="M111" s="30" t="str">
        <f aca="false">IF(AND(ISNUMBER(K111),ISNUMBER(L111),K111&gt;0),(K111-L111)/K111,"")</f>
        <v/>
      </c>
      <c r="N111" s="31" t="str">
        <f aca="false">IF(AND(ISNUMBER(L111),ISNUMBER(G111),G111&gt;0),IF(OR(H111="g",H111="ml"),L111/G111*1000,IF(OR(H111="kg",H111="L"),L111/G111,"")),"")</f>
        <v/>
      </c>
      <c r="O111" s="32"/>
      <c r="P111" s="33"/>
      <c r="Q111" s="27"/>
      <c r="R111" s="27"/>
      <c r="S111" s="34"/>
      <c r="T111" s="34"/>
      <c r="U111" s="34"/>
      <c r="V111" s="34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34"/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27"/>
      <c r="G112" s="27"/>
      <c r="H112" s="27"/>
      <c r="I112" s="28"/>
      <c r="J112" s="27"/>
      <c r="K112" s="29"/>
      <c r="L112" s="29"/>
      <c r="M112" s="30" t="str">
        <f aca="false">IF(AND(ISNUMBER(K112),ISNUMBER(L112),K112&gt;0),(K112-L112)/K112,"")</f>
        <v/>
      </c>
      <c r="N112" s="31" t="str">
        <f aca="false">IF(AND(ISNUMBER(L112),ISNUMBER(G112),G112&gt;0),IF(OR(H112="g",H112="ml"),L112/G112*1000,IF(OR(H112="kg",H112="L"),L112/G112,"")),"")</f>
        <v/>
      </c>
      <c r="O112" s="32"/>
      <c r="P112" s="33"/>
      <c r="Q112" s="27"/>
      <c r="R112" s="27"/>
      <c r="S112" s="34"/>
      <c r="T112" s="34"/>
      <c r="U112" s="34"/>
      <c r="V112" s="34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34"/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27"/>
      <c r="H113" s="27"/>
      <c r="I113" s="28"/>
      <c r="J113" s="27"/>
      <c r="K113" s="29"/>
      <c r="L113" s="29"/>
      <c r="M113" s="30" t="str">
        <f aca="false">IF(AND(ISNUMBER(K113),ISNUMBER(L113),K113&gt;0),(K113-L113)/K113,"")</f>
        <v/>
      </c>
      <c r="N113" s="31" t="str">
        <f aca="false">IF(AND(ISNUMBER(L113),ISNUMBER(G113),G113&gt;0),IF(OR(H113="g",H113="ml"),L113/G113*1000,IF(OR(H113="kg",H113="L"),L113/G113,"")),"")</f>
        <v/>
      </c>
      <c r="O113" s="32"/>
      <c r="P113" s="33"/>
      <c r="Q113" s="27"/>
      <c r="R113" s="27"/>
      <c r="S113" s="34"/>
      <c r="T113" s="34"/>
      <c r="U113" s="34"/>
      <c r="V113" s="34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34"/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27"/>
      <c r="H114" s="27"/>
      <c r="I114" s="28"/>
      <c r="J114" s="27"/>
      <c r="K114" s="29"/>
      <c r="L114" s="29"/>
      <c r="M114" s="30" t="str">
        <f aca="false">IF(AND(ISNUMBER(K114),ISNUMBER(L114),K114&gt;0),(K114-L114)/K114,"")</f>
        <v/>
      </c>
      <c r="N114" s="31" t="str">
        <f aca="false">IF(AND(ISNUMBER(L114),ISNUMBER(G114),G114&gt;0),IF(OR(H114="g",H114="ml"),L114/G114*1000,IF(OR(H114="kg",H114="L"),L114/G114,"")),"")</f>
        <v/>
      </c>
      <c r="O114" s="32"/>
      <c r="P114" s="33"/>
      <c r="Q114" s="27"/>
      <c r="R114" s="27"/>
      <c r="S114" s="34"/>
      <c r="T114" s="34"/>
      <c r="U114" s="34"/>
      <c r="V114" s="34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34"/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27"/>
      <c r="I115" s="28"/>
      <c r="J115" s="27"/>
      <c r="K115" s="29"/>
      <c r="L115" s="29"/>
      <c r="M115" s="30" t="str">
        <f aca="false">IF(AND(ISNUMBER(K115),ISNUMBER(L115),K115&gt;0),(K115-L115)/K115,"")</f>
        <v/>
      </c>
      <c r="N115" s="31" t="str">
        <f aca="false">IF(AND(ISNUMBER(L115),ISNUMBER(G115),G115&gt;0),IF(OR(H115="g",H115="ml"),L115/G115*1000,IF(OR(H115="kg",H115="L"),L115/G115,"")),"")</f>
        <v/>
      </c>
      <c r="O115" s="32"/>
      <c r="P115" s="33"/>
      <c r="Q115" s="27"/>
      <c r="R115" s="27"/>
      <c r="S115" s="34"/>
      <c r="T115" s="34"/>
      <c r="U115" s="34"/>
      <c r="V115" s="34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34"/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27"/>
      <c r="I116" s="28"/>
      <c r="J116" s="27"/>
      <c r="K116" s="29"/>
      <c r="L116" s="29"/>
      <c r="M116" s="30" t="str">
        <f aca="false">IF(AND(ISNUMBER(K116),ISNUMBER(L116),K116&gt;0),(K116-L116)/K116,"")</f>
        <v/>
      </c>
      <c r="N116" s="31" t="str">
        <f aca="false">IF(AND(ISNUMBER(L116),ISNUMBER(G116),G116&gt;0),IF(OR(H116="g",H116="ml"),L116/G116*1000,IF(OR(H116="kg",H116="L"),L116/G116,"")),"")</f>
        <v/>
      </c>
      <c r="O116" s="32"/>
      <c r="P116" s="33"/>
      <c r="Q116" s="27"/>
      <c r="R116" s="27"/>
      <c r="S116" s="34"/>
      <c r="T116" s="34"/>
      <c r="U116" s="34"/>
      <c r="V116" s="34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34"/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27"/>
      <c r="G117" s="27"/>
      <c r="H117" s="27"/>
      <c r="I117" s="28"/>
      <c r="J117" s="27"/>
      <c r="K117" s="29"/>
      <c r="L117" s="29"/>
      <c r="M117" s="30" t="str">
        <f aca="false">IF(AND(ISNUMBER(K117),ISNUMBER(L117),K117&gt;0),(K117-L117)/K117,"")</f>
        <v/>
      </c>
      <c r="N117" s="31" t="str">
        <f aca="false">IF(AND(ISNUMBER(L117),ISNUMBER(G117),G117&gt;0),IF(OR(H117="g",H117="ml"),L117/G117*1000,IF(OR(H117="kg",H117="L"),L117/G117,"")),"")</f>
        <v/>
      </c>
      <c r="O117" s="32"/>
      <c r="P117" s="33"/>
      <c r="Q117" s="27"/>
      <c r="R117" s="27"/>
      <c r="S117" s="34"/>
      <c r="T117" s="34"/>
      <c r="U117" s="34"/>
      <c r="V117" s="34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34"/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27"/>
      <c r="G118" s="27"/>
      <c r="H118" s="27"/>
      <c r="I118" s="28"/>
      <c r="J118" s="27"/>
      <c r="K118" s="29"/>
      <c r="L118" s="29"/>
      <c r="M118" s="30" t="str">
        <f aca="false">IF(AND(ISNUMBER(K118),ISNUMBER(L118),K118&gt;0),(K118-L118)/K118,"")</f>
        <v/>
      </c>
      <c r="N118" s="31" t="str">
        <f aca="false">IF(AND(ISNUMBER(L118),ISNUMBER(G118),G118&gt;0),IF(OR(H118="g",H118="ml"),L118/G118*1000,IF(OR(H118="kg",H118="L"),L118/G118,"")),"")</f>
        <v/>
      </c>
      <c r="O118" s="32"/>
      <c r="P118" s="33"/>
      <c r="Q118" s="27"/>
      <c r="R118" s="27"/>
      <c r="S118" s="34"/>
      <c r="T118" s="34"/>
      <c r="U118" s="34"/>
      <c r="V118" s="34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34"/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27"/>
      <c r="G119" s="27"/>
      <c r="H119" s="27"/>
      <c r="I119" s="28"/>
      <c r="J119" s="27"/>
      <c r="K119" s="29"/>
      <c r="L119" s="29"/>
      <c r="M119" s="30" t="str">
        <f aca="false">IF(AND(ISNUMBER(K119),ISNUMBER(L119),K119&gt;0),(K119-L119)/K119,"")</f>
        <v/>
      </c>
      <c r="N119" s="31" t="str">
        <f aca="false">IF(AND(ISNUMBER(L119),ISNUMBER(G119),G119&gt;0),IF(OR(H119="g",H119="ml"),L119/G119*1000,IF(OR(H119="kg",H119="L"),L119/G119,"")),"")</f>
        <v/>
      </c>
      <c r="O119" s="32"/>
      <c r="P119" s="33"/>
      <c r="Q119" s="27"/>
      <c r="R119" s="27"/>
      <c r="S119" s="34"/>
      <c r="T119" s="34"/>
      <c r="U119" s="34"/>
      <c r="V119" s="34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34"/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27"/>
      <c r="G120" s="27"/>
      <c r="H120" s="27"/>
      <c r="I120" s="28"/>
      <c r="J120" s="27"/>
      <c r="K120" s="29"/>
      <c r="L120" s="29"/>
      <c r="M120" s="30" t="str">
        <f aca="false">IF(AND(ISNUMBER(K120),ISNUMBER(L120),K120&gt;0),(K120-L120)/K120,"")</f>
        <v/>
      </c>
      <c r="N120" s="31" t="str">
        <f aca="false">IF(AND(ISNUMBER(L120),ISNUMBER(G120),G120&gt;0),IF(OR(H120="g",H120="ml"),L120/G120*1000,IF(OR(H120="kg",H120="L"),L120/G120,"")),"")</f>
        <v/>
      </c>
      <c r="O120" s="32"/>
      <c r="P120" s="33"/>
      <c r="Q120" s="27"/>
      <c r="R120" s="27"/>
      <c r="S120" s="34"/>
      <c r="T120" s="34"/>
      <c r="U120" s="34"/>
      <c r="V120" s="34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34"/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27"/>
      <c r="G121" s="27"/>
      <c r="H121" s="27"/>
      <c r="I121" s="28"/>
      <c r="J121" s="27"/>
      <c r="K121" s="29"/>
      <c r="L121" s="29"/>
      <c r="M121" s="30" t="str">
        <f aca="false">IF(AND(ISNUMBER(K121),ISNUMBER(L121),K121&gt;0),(K121-L121)/K121,"")</f>
        <v/>
      </c>
      <c r="N121" s="31" t="str">
        <f aca="false">IF(AND(ISNUMBER(L121),ISNUMBER(G121),G121&gt;0),IF(OR(H121="g",H121="ml"),L121/G121*1000,IF(OR(H121="kg",H121="L"),L121/G121,"")),"")</f>
        <v/>
      </c>
      <c r="O121" s="32"/>
      <c r="P121" s="33"/>
      <c r="Q121" s="27"/>
      <c r="R121" s="27"/>
      <c r="S121" s="34"/>
      <c r="T121" s="34"/>
      <c r="U121" s="34"/>
      <c r="V121" s="34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34"/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27"/>
      <c r="G122" s="27"/>
      <c r="H122" s="27"/>
      <c r="I122" s="28"/>
      <c r="J122" s="27"/>
      <c r="K122" s="29"/>
      <c r="L122" s="29"/>
      <c r="M122" s="30" t="str">
        <f aca="false">IF(AND(ISNUMBER(K122),ISNUMBER(L122),K122&gt;0),(K122-L122)/K122,"")</f>
        <v/>
      </c>
      <c r="N122" s="31" t="str">
        <f aca="false">IF(AND(ISNUMBER(L122),ISNUMBER(G122),G122&gt;0),IF(OR(H122="g",H122="ml"),L122/G122*1000,IF(OR(H122="kg",H122="L"),L122/G122,"")),"")</f>
        <v/>
      </c>
      <c r="O122" s="32"/>
      <c r="P122" s="33"/>
      <c r="Q122" s="27"/>
      <c r="R122" s="27"/>
      <c r="S122" s="34"/>
      <c r="T122" s="34"/>
      <c r="U122" s="34"/>
      <c r="V122" s="34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34"/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27"/>
      <c r="G123" s="27"/>
      <c r="H123" s="27"/>
      <c r="I123" s="28"/>
      <c r="J123" s="27"/>
      <c r="K123" s="29"/>
      <c r="L123" s="29"/>
      <c r="M123" s="30" t="str">
        <f aca="false">IF(AND(ISNUMBER(K123),ISNUMBER(L123),K123&gt;0),(K123-L123)/K123,"")</f>
        <v/>
      </c>
      <c r="N123" s="31" t="str">
        <f aca="false">IF(AND(ISNUMBER(L123),ISNUMBER(G123),G123&gt;0),IF(OR(H123="g",H123="ml"),L123/G123*1000,IF(OR(H123="kg",H123="L"),L123/G123,"")),"")</f>
        <v/>
      </c>
      <c r="O123" s="32"/>
      <c r="P123" s="33"/>
      <c r="Q123" s="27"/>
      <c r="R123" s="27"/>
      <c r="S123" s="34"/>
      <c r="T123" s="34"/>
      <c r="U123" s="34"/>
      <c r="V123" s="34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34"/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27"/>
      <c r="G124" s="27"/>
      <c r="H124" s="27"/>
      <c r="I124" s="28"/>
      <c r="J124" s="27"/>
      <c r="K124" s="29"/>
      <c r="L124" s="29"/>
      <c r="M124" s="30" t="str">
        <f aca="false">IF(AND(ISNUMBER(K124),ISNUMBER(L124),K124&gt;0),(K124-L124)/K124,"")</f>
        <v/>
      </c>
      <c r="N124" s="31" t="str">
        <f aca="false">IF(AND(ISNUMBER(L124),ISNUMBER(G124),G124&gt;0),IF(OR(H124="g",H124="ml"),L124/G124*1000,IF(OR(H124="kg",H124="L"),L124/G124,"")),"")</f>
        <v/>
      </c>
      <c r="O124" s="32"/>
      <c r="P124" s="33"/>
      <c r="Q124" s="27"/>
      <c r="R124" s="27"/>
      <c r="S124" s="34"/>
      <c r="T124" s="34"/>
      <c r="U124" s="34"/>
      <c r="V124" s="34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34"/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27"/>
      <c r="G125" s="27"/>
      <c r="H125" s="27"/>
      <c r="I125" s="28"/>
      <c r="J125" s="27"/>
      <c r="K125" s="29"/>
      <c r="L125" s="29"/>
      <c r="M125" s="30" t="str">
        <f aca="false">IF(AND(ISNUMBER(K125),ISNUMBER(L125),K125&gt;0),(K125-L125)/K125,"")</f>
        <v/>
      </c>
      <c r="N125" s="31" t="str">
        <f aca="false">IF(AND(ISNUMBER(L125),ISNUMBER(G125),G125&gt;0),IF(OR(H125="g",H125="ml"),L125/G125*1000,IF(OR(H125="kg",H125="L"),L125/G125,"")),"")</f>
        <v/>
      </c>
      <c r="O125" s="32"/>
      <c r="P125" s="33"/>
      <c r="Q125" s="27"/>
      <c r="R125" s="27"/>
      <c r="S125" s="34"/>
      <c r="T125" s="34"/>
      <c r="U125" s="34"/>
      <c r="V125" s="34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34"/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27"/>
      <c r="G126" s="27"/>
      <c r="H126" s="27"/>
      <c r="I126" s="28"/>
      <c r="J126" s="27"/>
      <c r="K126" s="29"/>
      <c r="L126" s="29"/>
      <c r="M126" s="30" t="str">
        <f aca="false">IF(AND(ISNUMBER(K126),ISNUMBER(L126),K126&gt;0),(K126-L126)/K126,"")</f>
        <v/>
      </c>
      <c r="N126" s="31" t="str">
        <f aca="false">IF(AND(ISNUMBER(L126),ISNUMBER(G126),G126&gt;0),IF(OR(H126="g",H126="ml"),L126/G126*1000,IF(OR(H126="kg",H126="L"),L126/G126,"")),"")</f>
        <v/>
      </c>
      <c r="O126" s="32"/>
      <c r="P126" s="33"/>
      <c r="Q126" s="27"/>
      <c r="R126" s="27"/>
      <c r="S126" s="34"/>
      <c r="T126" s="34"/>
      <c r="U126" s="34"/>
      <c r="V126" s="34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34"/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27"/>
      <c r="G127" s="27"/>
      <c r="H127" s="27"/>
      <c r="I127" s="28"/>
      <c r="J127" s="27"/>
      <c r="K127" s="29"/>
      <c r="L127" s="29"/>
      <c r="M127" s="30" t="str">
        <f aca="false">IF(AND(ISNUMBER(K127),ISNUMBER(L127),K127&gt;0),(K127-L127)/K127,"")</f>
        <v/>
      </c>
      <c r="N127" s="31" t="str">
        <f aca="false">IF(AND(ISNUMBER(L127),ISNUMBER(G127),G127&gt;0),IF(OR(H127="g",H127="ml"),L127/G127*1000,IF(OR(H127="kg",H127="L"),L127/G127,"")),"")</f>
        <v/>
      </c>
      <c r="O127" s="32"/>
      <c r="P127" s="33"/>
      <c r="Q127" s="27"/>
      <c r="R127" s="27"/>
      <c r="S127" s="34"/>
      <c r="T127" s="34"/>
      <c r="U127" s="34"/>
      <c r="V127" s="34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34"/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27"/>
      <c r="G128" s="27"/>
      <c r="H128" s="27"/>
      <c r="I128" s="28"/>
      <c r="J128" s="27"/>
      <c r="K128" s="29"/>
      <c r="L128" s="29"/>
      <c r="M128" s="30" t="str">
        <f aca="false">IF(AND(ISNUMBER(K128),ISNUMBER(L128),K128&gt;0),(K128-L128)/K128,"")</f>
        <v/>
      </c>
      <c r="N128" s="31" t="str">
        <f aca="false">IF(AND(ISNUMBER(L128),ISNUMBER(G128),G128&gt;0),IF(OR(H128="g",H128="ml"),L128/G128*1000,IF(OR(H128="kg",H128="L"),L128/G128,"")),"")</f>
        <v/>
      </c>
      <c r="O128" s="32"/>
      <c r="P128" s="33"/>
      <c r="Q128" s="27"/>
      <c r="R128" s="27"/>
      <c r="S128" s="34"/>
      <c r="T128" s="34"/>
      <c r="U128" s="34"/>
      <c r="V128" s="34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34"/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27"/>
      <c r="G129" s="27"/>
      <c r="H129" s="27"/>
      <c r="I129" s="28"/>
      <c r="J129" s="27"/>
      <c r="K129" s="29"/>
      <c r="L129" s="29"/>
      <c r="M129" s="30" t="str">
        <f aca="false">IF(AND(ISNUMBER(K129),ISNUMBER(L129),K129&gt;0),(K129-L129)/K129,"")</f>
        <v/>
      </c>
      <c r="N129" s="31" t="str">
        <f aca="false">IF(AND(ISNUMBER(L129),ISNUMBER(G129),G129&gt;0),IF(OR(H129="g",H129="ml"),L129/G129*1000,IF(OR(H129="kg",H129="L"),L129/G129,"")),"")</f>
        <v/>
      </c>
      <c r="O129" s="32"/>
      <c r="P129" s="33"/>
      <c r="Q129" s="27"/>
      <c r="R129" s="27"/>
      <c r="S129" s="34"/>
      <c r="T129" s="34"/>
      <c r="U129" s="34"/>
      <c r="V129" s="34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34"/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27"/>
      <c r="G130" s="27"/>
      <c r="H130" s="27"/>
      <c r="I130" s="28"/>
      <c r="J130" s="27"/>
      <c r="K130" s="29"/>
      <c r="L130" s="29"/>
      <c r="M130" s="30" t="str">
        <f aca="false">IF(AND(ISNUMBER(K130),ISNUMBER(L130),K130&gt;0),(K130-L130)/K130,"")</f>
        <v/>
      </c>
      <c r="N130" s="31" t="str">
        <f aca="false">IF(AND(ISNUMBER(L130),ISNUMBER(G130),G130&gt;0),IF(OR(H130="g",H130="ml"),L130/G130*1000,IF(OR(H130="kg",H130="L"),L130/G130,"")),"")</f>
        <v/>
      </c>
      <c r="O130" s="32"/>
      <c r="P130" s="33"/>
      <c r="Q130" s="27"/>
      <c r="R130" s="27"/>
      <c r="S130" s="34"/>
      <c r="T130" s="34"/>
      <c r="U130" s="34"/>
      <c r="V130" s="34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34"/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27"/>
      <c r="G131" s="27"/>
      <c r="H131" s="27"/>
      <c r="I131" s="28"/>
      <c r="J131" s="27"/>
      <c r="K131" s="29"/>
      <c r="L131" s="29"/>
      <c r="M131" s="30" t="str">
        <f aca="false">IF(AND(ISNUMBER(K131),ISNUMBER(L131),K131&gt;0),(K131-L131)/K131,"")</f>
        <v/>
      </c>
      <c r="N131" s="31" t="str">
        <f aca="false">IF(AND(ISNUMBER(L131),ISNUMBER(G131),G131&gt;0),IF(OR(H131="g",H131="ml"),L131/G131*1000,IF(OR(H131="kg",H131="L"),L131/G131,"")),"")</f>
        <v/>
      </c>
      <c r="O131" s="32"/>
      <c r="P131" s="33"/>
      <c r="Q131" s="27"/>
      <c r="R131" s="27"/>
      <c r="S131" s="34"/>
      <c r="T131" s="34"/>
      <c r="U131" s="34"/>
      <c r="V131" s="34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34"/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27"/>
      <c r="G132" s="27"/>
      <c r="H132" s="27"/>
      <c r="I132" s="28"/>
      <c r="J132" s="27"/>
      <c r="K132" s="29"/>
      <c r="L132" s="29"/>
      <c r="M132" s="30" t="str">
        <f aca="false">IF(AND(ISNUMBER(K132),ISNUMBER(L132),K132&gt;0),(K132-L132)/K132,"")</f>
        <v/>
      </c>
      <c r="N132" s="31" t="str">
        <f aca="false">IF(AND(ISNUMBER(L132),ISNUMBER(G132),G132&gt;0),IF(OR(H132="g",H132="ml"),L132/G132*1000,IF(OR(H132="kg",H132="L"),L132/G132,"")),"")</f>
        <v/>
      </c>
      <c r="O132" s="32"/>
      <c r="P132" s="33"/>
      <c r="Q132" s="27"/>
      <c r="R132" s="27"/>
      <c r="S132" s="34"/>
      <c r="T132" s="34"/>
      <c r="U132" s="34"/>
      <c r="V132" s="34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34"/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27"/>
      <c r="G133" s="27"/>
      <c r="H133" s="27"/>
      <c r="I133" s="28"/>
      <c r="J133" s="27"/>
      <c r="K133" s="29"/>
      <c r="L133" s="29"/>
      <c r="M133" s="30" t="str">
        <f aca="false">IF(AND(ISNUMBER(K133),ISNUMBER(L133),K133&gt;0),(K133-L133)/K133,"")</f>
        <v/>
      </c>
      <c r="N133" s="31" t="str">
        <f aca="false">IF(AND(ISNUMBER(L133),ISNUMBER(G133),G133&gt;0),IF(OR(H133="g",H133="ml"),L133/G133*1000,IF(OR(H133="kg",H133="L"),L133/G133,"")),"")</f>
        <v/>
      </c>
      <c r="O133" s="32"/>
      <c r="P133" s="33"/>
      <c r="Q133" s="27"/>
      <c r="R133" s="27"/>
      <c r="S133" s="34"/>
      <c r="T133" s="34"/>
      <c r="U133" s="34"/>
      <c r="V133" s="34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34"/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27"/>
      <c r="G134" s="27"/>
      <c r="H134" s="27"/>
      <c r="I134" s="28"/>
      <c r="J134" s="27"/>
      <c r="K134" s="29"/>
      <c r="L134" s="29"/>
      <c r="M134" s="30" t="str">
        <f aca="false">IF(AND(ISNUMBER(K134),ISNUMBER(L134),K134&gt;0),(K134-L134)/K134,"")</f>
        <v/>
      </c>
      <c r="N134" s="31" t="str">
        <f aca="false">IF(AND(ISNUMBER(L134),ISNUMBER(G134),G134&gt;0),IF(OR(H134="g",H134="ml"),L134/G134*1000,IF(OR(H134="kg",H134="L"),L134/G134,"")),"")</f>
        <v/>
      </c>
      <c r="O134" s="32"/>
      <c r="P134" s="33"/>
      <c r="Q134" s="27"/>
      <c r="R134" s="27"/>
      <c r="S134" s="34"/>
      <c r="T134" s="34"/>
      <c r="U134" s="34"/>
      <c r="V134" s="34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34"/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27"/>
      <c r="G135" s="27"/>
      <c r="H135" s="27"/>
      <c r="I135" s="28"/>
      <c r="J135" s="27"/>
      <c r="K135" s="29"/>
      <c r="L135" s="29"/>
      <c r="M135" s="30" t="str">
        <f aca="false">IF(AND(ISNUMBER(K135),ISNUMBER(L135),K135&gt;0),(K135-L135)/K135,"")</f>
        <v/>
      </c>
      <c r="N135" s="31" t="str">
        <f aca="false">IF(AND(ISNUMBER(L135),ISNUMBER(G135),G135&gt;0),IF(OR(H135="g",H135="ml"),L135/G135*1000,IF(OR(H135="kg",H135="L"),L135/G135,"")),"")</f>
        <v/>
      </c>
      <c r="O135" s="32"/>
      <c r="P135" s="33"/>
      <c r="Q135" s="27"/>
      <c r="R135" s="27"/>
      <c r="S135" s="34"/>
      <c r="T135" s="34"/>
      <c r="U135" s="34"/>
      <c r="V135" s="34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34"/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27"/>
      <c r="G136" s="27"/>
      <c r="H136" s="27"/>
      <c r="I136" s="28"/>
      <c r="J136" s="27"/>
      <c r="K136" s="29"/>
      <c r="L136" s="29"/>
      <c r="M136" s="30" t="str">
        <f aca="false">IF(AND(ISNUMBER(K136),ISNUMBER(L136),K136&gt;0),(K136-L136)/K136,"")</f>
        <v/>
      </c>
      <c r="N136" s="31" t="str">
        <f aca="false">IF(AND(ISNUMBER(L136),ISNUMBER(G136),G136&gt;0),IF(OR(H136="g",H136="ml"),L136/G136*1000,IF(OR(H136="kg",H136="L"),L136/G136,"")),"")</f>
        <v/>
      </c>
      <c r="O136" s="32"/>
      <c r="P136" s="33"/>
      <c r="Q136" s="27"/>
      <c r="R136" s="27"/>
      <c r="S136" s="34"/>
      <c r="T136" s="34"/>
      <c r="U136" s="34"/>
      <c r="V136" s="34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34"/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27"/>
      <c r="G137" s="27"/>
      <c r="H137" s="27"/>
      <c r="I137" s="28"/>
      <c r="J137" s="27"/>
      <c r="K137" s="29"/>
      <c r="L137" s="29"/>
      <c r="M137" s="30" t="str">
        <f aca="false">IF(AND(ISNUMBER(K137),ISNUMBER(L137),K137&gt;0),(K137-L137)/K137,"")</f>
        <v/>
      </c>
      <c r="N137" s="31" t="str">
        <f aca="false">IF(AND(ISNUMBER(L137),ISNUMBER(G137),G137&gt;0),IF(OR(H137="g",H137="ml"),L137/G137*1000,IF(OR(H137="kg",H137="L"),L137/G137,"")),"")</f>
        <v/>
      </c>
      <c r="O137" s="32"/>
      <c r="P137" s="33"/>
      <c r="Q137" s="27"/>
      <c r="R137" s="27"/>
      <c r="S137" s="34"/>
      <c r="T137" s="34"/>
      <c r="U137" s="34"/>
      <c r="V137" s="34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34"/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27"/>
      <c r="I138" s="28"/>
      <c r="J138" s="27"/>
      <c r="K138" s="29"/>
      <c r="L138" s="29"/>
      <c r="M138" s="30" t="str">
        <f aca="false">IF(AND(ISNUMBER(K138),ISNUMBER(L138),K138&gt;0),(K138-L138)/K138,"")</f>
        <v/>
      </c>
      <c r="N138" s="31" t="str">
        <f aca="false">IF(AND(ISNUMBER(L138),ISNUMBER(G138),G138&gt;0),IF(OR(H138="g",H138="ml"),L138/G138*1000,IF(OR(H138="kg",H138="L"),L138/G138,"")),"")</f>
        <v/>
      </c>
      <c r="O138" s="32"/>
      <c r="P138" s="33"/>
      <c r="Q138" s="27"/>
      <c r="R138" s="27"/>
      <c r="S138" s="34"/>
      <c r="T138" s="34"/>
      <c r="U138" s="34"/>
      <c r="V138" s="34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34"/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27"/>
      <c r="G139" s="27"/>
      <c r="H139" s="27"/>
      <c r="I139" s="28"/>
      <c r="J139" s="27"/>
      <c r="K139" s="29"/>
      <c r="L139" s="29"/>
      <c r="M139" s="30" t="str">
        <f aca="false">IF(AND(ISNUMBER(K139),ISNUMBER(L139),K139&gt;0),(K139-L139)/K139,"")</f>
        <v/>
      </c>
      <c r="N139" s="31" t="str">
        <f aca="false">IF(AND(ISNUMBER(L139),ISNUMBER(G139),G139&gt;0),IF(OR(H139="g",H139="ml"),L139/G139*1000,IF(OR(H139="kg",H139="L"),L139/G139,"")),"")</f>
        <v/>
      </c>
      <c r="O139" s="32"/>
      <c r="P139" s="33"/>
      <c r="Q139" s="27"/>
      <c r="R139" s="27"/>
      <c r="S139" s="34"/>
      <c r="T139" s="34"/>
      <c r="U139" s="34"/>
      <c r="V139" s="34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34"/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27"/>
      <c r="G140" s="27"/>
      <c r="H140" s="27"/>
      <c r="I140" s="28"/>
      <c r="J140" s="27"/>
      <c r="K140" s="29"/>
      <c r="L140" s="29"/>
      <c r="M140" s="30" t="str">
        <f aca="false">IF(AND(ISNUMBER(K140),ISNUMBER(L140),K140&gt;0),(K140-L140)/K140,"")</f>
        <v/>
      </c>
      <c r="N140" s="31" t="str">
        <f aca="false">IF(AND(ISNUMBER(L140),ISNUMBER(G140),G140&gt;0),IF(OR(H140="g",H140="ml"),L140/G140*1000,IF(OR(H140="kg",H140="L"),L140/G140,"")),"")</f>
        <v/>
      </c>
      <c r="O140" s="32"/>
      <c r="P140" s="33"/>
      <c r="Q140" s="27"/>
      <c r="R140" s="27"/>
      <c r="S140" s="34"/>
      <c r="T140" s="34"/>
      <c r="U140" s="34"/>
      <c r="V140" s="34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34"/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27"/>
      <c r="G141" s="27"/>
      <c r="H141" s="27"/>
      <c r="I141" s="28"/>
      <c r="J141" s="27"/>
      <c r="K141" s="29"/>
      <c r="L141" s="29"/>
      <c r="M141" s="30" t="str">
        <f aca="false">IF(AND(ISNUMBER(K141),ISNUMBER(L141),K141&gt;0),(K141-L141)/K141,"")</f>
        <v/>
      </c>
      <c r="N141" s="31" t="str">
        <f aca="false">IF(AND(ISNUMBER(L141),ISNUMBER(G141),G141&gt;0),IF(OR(H141="g",H141="ml"),L141/G141*1000,IF(OR(H141="kg",H141="L"),L141/G141,"")),"")</f>
        <v/>
      </c>
      <c r="O141" s="32"/>
      <c r="P141" s="33"/>
      <c r="Q141" s="27"/>
      <c r="R141" s="27"/>
      <c r="S141" s="34"/>
      <c r="T141" s="34"/>
      <c r="U141" s="34"/>
      <c r="V141" s="34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34"/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27"/>
      <c r="G142" s="27"/>
      <c r="H142" s="27"/>
      <c r="I142" s="28"/>
      <c r="J142" s="27"/>
      <c r="K142" s="29"/>
      <c r="L142" s="29"/>
      <c r="M142" s="30" t="str">
        <f aca="false">IF(AND(ISNUMBER(K142),ISNUMBER(L142),K142&gt;0),(K142-L142)/K142,"")</f>
        <v/>
      </c>
      <c r="N142" s="31" t="str">
        <f aca="false">IF(AND(ISNUMBER(L142),ISNUMBER(G142),G142&gt;0),IF(OR(H142="g",H142="ml"),L142/G142*1000,IF(OR(H142="kg",H142="L"),L142/G142,"")),"")</f>
        <v/>
      </c>
      <c r="O142" s="32"/>
      <c r="P142" s="33"/>
      <c r="Q142" s="27"/>
      <c r="R142" s="27"/>
      <c r="S142" s="34"/>
      <c r="T142" s="34"/>
      <c r="U142" s="34"/>
      <c r="V142" s="34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34"/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27"/>
      <c r="G143" s="27"/>
      <c r="H143" s="27"/>
      <c r="I143" s="28"/>
      <c r="J143" s="27"/>
      <c r="K143" s="29"/>
      <c r="L143" s="29"/>
      <c r="M143" s="30" t="str">
        <f aca="false">IF(AND(ISNUMBER(K143),ISNUMBER(L143),K143&gt;0),(K143-L143)/K143,"")</f>
        <v/>
      </c>
      <c r="N143" s="31" t="str">
        <f aca="false">IF(AND(ISNUMBER(L143),ISNUMBER(G143),G143&gt;0),IF(OR(H143="g",H143="ml"),L143/G143*1000,IF(OR(H143="kg",H143="L"),L143/G143,"")),"")</f>
        <v/>
      </c>
      <c r="O143" s="32"/>
      <c r="P143" s="33"/>
      <c r="Q143" s="27"/>
      <c r="R143" s="27"/>
      <c r="S143" s="34"/>
      <c r="T143" s="34"/>
      <c r="U143" s="34"/>
      <c r="V143" s="34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34"/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27"/>
      <c r="G144" s="27"/>
      <c r="H144" s="27"/>
      <c r="I144" s="28"/>
      <c r="J144" s="27"/>
      <c r="K144" s="29"/>
      <c r="L144" s="29"/>
      <c r="M144" s="30" t="str">
        <f aca="false">IF(AND(ISNUMBER(K144),ISNUMBER(L144),K144&gt;0),(K144-L144)/K144,"")</f>
        <v/>
      </c>
      <c r="N144" s="31" t="str">
        <f aca="false">IF(AND(ISNUMBER(L144),ISNUMBER(G144),G144&gt;0),IF(OR(H144="g",H144="ml"),L144/G144*1000,IF(OR(H144="kg",H144="L"),L144/G144,"")),"")</f>
        <v/>
      </c>
      <c r="O144" s="32"/>
      <c r="P144" s="33"/>
      <c r="Q144" s="27"/>
      <c r="R144" s="27"/>
      <c r="S144" s="34"/>
      <c r="T144" s="34"/>
      <c r="U144" s="34"/>
      <c r="V144" s="34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34"/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27"/>
      <c r="G145" s="27"/>
      <c r="H145" s="27"/>
      <c r="I145" s="28"/>
      <c r="J145" s="27"/>
      <c r="K145" s="29"/>
      <c r="L145" s="29"/>
      <c r="M145" s="30" t="str">
        <f aca="false">IF(AND(ISNUMBER(K145),ISNUMBER(L145),K145&gt;0),(K145-L145)/K145,"")</f>
        <v/>
      </c>
      <c r="N145" s="31" t="str">
        <f aca="false">IF(AND(ISNUMBER(L145),ISNUMBER(G145),G145&gt;0),IF(OR(H145="g",H145="ml"),L145/G145*1000,IF(OR(H145="kg",H145="L"),L145/G145,"")),"")</f>
        <v/>
      </c>
      <c r="O145" s="32"/>
      <c r="P145" s="33"/>
      <c r="Q145" s="27"/>
      <c r="R145" s="27"/>
      <c r="S145" s="34"/>
      <c r="T145" s="34"/>
      <c r="U145" s="34"/>
      <c r="V145" s="34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34"/>
    </row>
    <row r="146" customFormat="false" ht="15" hidden="false" customHeight="false" outlineLevel="0" collapsed="false">
      <c r="A146" s="27"/>
      <c r="B146" s="27"/>
      <c r="C146" s="27"/>
      <c r="D146" s="27"/>
      <c r="E146" s="27"/>
      <c r="F146" s="27"/>
      <c r="G146" s="27"/>
      <c r="H146" s="27"/>
      <c r="I146" s="28"/>
      <c r="J146" s="27"/>
      <c r="K146" s="29"/>
      <c r="L146" s="29"/>
      <c r="M146" s="30" t="str">
        <f aca="false">IF(AND(ISNUMBER(K146),ISNUMBER(L146),K146&gt;0),(K146-L146)/K146,"")</f>
        <v/>
      </c>
      <c r="N146" s="31" t="str">
        <f aca="false">IF(AND(ISNUMBER(L146),ISNUMBER(G146),G146&gt;0),IF(OR(H146="g",H146="ml"),L146/G146*1000,IF(OR(H146="kg",H146="L"),L146/G146,"")),"")</f>
        <v/>
      </c>
      <c r="O146" s="32"/>
      <c r="P146" s="33"/>
      <c r="Q146" s="27"/>
      <c r="R146" s="27"/>
      <c r="S146" s="34"/>
      <c r="T146" s="34"/>
      <c r="U146" s="34"/>
      <c r="V146" s="34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34"/>
    </row>
    <row r="147" customFormat="false" ht="15" hidden="false" customHeight="false" outlineLevel="0" collapsed="false">
      <c r="A147" s="27"/>
      <c r="B147" s="27"/>
      <c r="C147" s="27"/>
      <c r="D147" s="27"/>
      <c r="E147" s="27"/>
      <c r="F147" s="27"/>
      <c r="G147" s="27"/>
      <c r="H147" s="27"/>
      <c r="I147" s="28"/>
      <c r="J147" s="27"/>
      <c r="K147" s="29"/>
      <c r="L147" s="29"/>
      <c r="M147" s="30" t="str">
        <f aca="false">IF(AND(ISNUMBER(K147),ISNUMBER(L147),K147&gt;0),(K147-L147)/K147,"")</f>
        <v/>
      </c>
      <c r="N147" s="31" t="str">
        <f aca="false">IF(AND(ISNUMBER(L147),ISNUMBER(G147),G147&gt;0),IF(OR(H147="g",H147="ml"),L147/G147*1000,IF(OR(H147="kg",H147="L"),L147/G147,"")),"")</f>
        <v/>
      </c>
      <c r="O147" s="32"/>
      <c r="P147" s="33"/>
      <c r="Q147" s="27"/>
      <c r="R147" s="27"/>
      <c r="S147" s="34"/>
      <c r="T147" s="34"/>
      <c r="U147" s="34"/>
      <c r="V147" s="34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34"/>
    </row>
    <row r="148" customFormat="false" ht="15" hidden="false" customHeight="false" outlineLevel="0" collapsed="false">
      <c r="A148" s="27"/>
      <c r="B148" s="27"/>
      <c r="C148" s="27"/>
      <c r="D148" s="27"/>
      <c r="E148" s="27"/>
      <c r="F148" s="27"/>
      <c r="G148" s="27"/>
      <c r="H148" s="27"/>
      <c r="I148" s="28"/>
      <c r="J148" s="27"/>
      <c r="K148" s="29"/>
      <c r="L148" s="29"/>
      <c r="M148" s="30" t="str">
        <f aca="false">IF(AND(ISNUMBER(K148),ISNUMBER(L148),K148&gt;0),(K148-L148)/K148,"")</f>
        <v/>
      </c>
      <c r="N148" s="31" t="str">
        <f aca="false">IF(AND(ISNUMBER(L148),ISNUMBER(G148),G148&gt;0),IF(OR(H148="g",H148="ml"),L148/G148*1000,IF(OR(H148="kg",H148="L"),L148/G148,"")),"")</f>
        <v/>
      </c>
      <c r="O148" s="32"/>
      <c r="P148" s="33"/>
      <c r="Q148" s="27"/>
      <c r="R148" s="27"/>
      <c r="S148" s="34"/>
      <c r="T148" s="34"/>
      <c r="U148" s="34"/>
      <c r="V148" s="34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34"/>
    </row>
    <row r="149" customFormat="false" ht="15" hidden="false" customHeight="false" outlineLevel="0" collapsed="false">
      <c r="A149" s="27"/>
      <c r="B149" s="27"/>
      <c r="C149" s="27"/>
      <c r="D149" s="27"/>
      <c r="E149" s="27"/>
      <c r="F149" s="27"/>
      <c r="G149" s="27"/>
      <c r="H149" s="27"/>
      <c r="I149" s="28"/>
      <c r="J149" s="27"/>
      <c r="K149" s="29"/>
      <c r="L149" s="29"/>
      <c r="M149" s="30" t="str">
        <f aca="false">IF(AND(ISNUMBER(K149),ISNUMBER(L149),K149&gt;0),(K149-L149)/K149,"")</f>
        <v/>
      </c>
      <c r="N149" s="31" t="str">
        <f aca="false">IF(AND(ISNUMBER(L149),ISNUMBER(G149),G149&gt;0),IF(OR(H149="g",H149="ml"),L149/G149*1000,IF(OR(H149="kg",H149="L"),L149/G149,"")),"")</f>
        <v/>
      </c>
      <c r="O149" s="32"/>
      <c r="P149" s="33"/>
      <c r="Q149" s="27"/>
      <c r="R149" s="27"/>
      <c r="S149" s="34"/>
      <c r="T149" s="34"/>
      <c r="U149" s="34"/>
      <c r="V149" s="34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34"/>
    </row>
    <row r="150" customFormat="false" ht="15" hidden="false" customHeight="false" outlineLevel="0" collapsed="false">
      <c r="A150" s="27"/>
      <c r="B150" s="27"/>
      <c r="C150" s="27"/>
      <c r="D150" s="27"/>
      <c r="E150" s="27"/>
      <c r="F150" s="27"/>
      <c r="G150" s="27"/>
      <c r="H150" s="27"/>
      <c r="I150" s="28"/>
      <c r="J150" s="27"/>
      <c r="K150" s="29"/>
      <c r="L150" s="29"/>
      <c r="M150" s="30" t="str">
        <f aca="false">IF(AND(ISNUMBER(K150),ISNUMBER(L150),K150&gt;0),(K150-L150)/K150,"")</f>
        <v/>
      </c>
      <c r="N150" s="31" t="str">
        <f aca="false">IF(AND(ISNUMBER(L150),ISNUMBER(G150),G150&gt;0),IF(OR(H150="g",H150="ml"),L150/G150*1000,IF(OR(H150="kg",H150="L"),L150/G150,"")),"")</f>
        <v/>
      </c>
      <c r="O150" s="32"/>
      <c r="P150" s="33"/>
      <c r="Q150" s="27"/>
      <c r="R150" s="27"/>
      <c r="S150" s="34"/>
      <c r="T150" s="34"/>
      <c r="U150" s="34"/>
      <c r="V150" s="34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34"/>
    </row>
    <row r="151" customFormat="false" ht="15" hidden="false" customHeight="false" outlineLevel="0" collapsed="false">
      <c r="A151" s="27"/>
      <c r="B151" s="27"/>
      <c r="C151" s="27"/>
      <c r="D151" s="27"/>
      <c r="E151" s="27"/>
      <c r="F151" s="27"/>
      <c r="G151" s="27"/>
      <c r="H151" s="27"/>
      <c r="I151" s="28"/>
      <c r="J151" s="27"/>
      <c r="K151" s="29"/>
      <c r="L151" s="29"/>
      <c r="M151" s="30" t="str">
        <f aca="false">IF(AND(ISNUMBER(K151),ISNUMBER(L151),K151&gt;0),(K151-L151)/K151,"")</f>
        <v/>
      </c>
      <c r="N151" s="31" t="str">
        <f aca="false">IF(AND(ISNUMBER(L151),ISNUMBER(G151),G151&gt;0),IF(OR(H151="g",H151="ml"),L151/G151*1000,IF(OR(H151="kg",H151="L"),L151/G151,"")),"")</f>
        <v/>
      </c>
      <c r="O151" s="32"/>
      <c r="P151" s="33"/>
      <c r="Q151" s="27"/>
      <c r="R151" s="27"/>
      <c r="S151" s="34"/>
      <c r="T151" s="34"/>
      <c r="U151" s="34"/>
      <c r="V151" s="34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34"/>
    </row>
    <row r="152" customFormat="false" ht="15" hidden="false" customHeight="false" outlineLevel="0" collapsed="false">
      <c r="A152" s="27"/>
      <c r="B152" s="27"/>
      <c r="C152" s="27"/>
      <c r="D152" s="27"/>
      <c r="E152" s="27"/>
      <c r="F152" s="27"/>
      <c r="G152" s="27"/>
      <c r="H152" s="27"/>
      <c r="I152" s="28"/>
      <c r="J152" s="27"/>
      <c r="K152" s="29"/>
      <c r="L152" s="29"/>
      <c r="M152" s="30" t="str">
        <f aca="false">IF(AND(ISNUMBER(K152),ISNUMBER(L152),K152&gt;0),(K152-L152)/K152,"")</f>
        <v/>
      </c>
      <c r="N152" s="31" t="str">
        <f aca="false">IF(AND(ISNUMBER(L152),ISNUMBER(G152),G152&gt;0),IF(OR(H152="g",H152="ml"),L152/G152*1000,IF(OR(H152="kg",H152="L"),L152/G152,"")),"")</f>
        <v/>
      </c>
      <c r="O152" s="32"/>
      <c r="P152" s="33"/>
      <c r="Q152" s="27"/>
      <c r="R152" s="27"/>
      <c r="S152" s="34"/>
      <c r="T152" s="34"/>
      <c r="U152" s="34"/>
      <c r="V152" s="34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34"/>
    </row>
    <row r="153" customFormat="false" ht="15" hidden="false" customHeight="false" outlineLevel="0" collapsed="false">
      <c r="A153" s="27"/>
      <c r="B153" s="27"/>
      <c r="C153" s="27"/>
      <c r="D153" s="27"/>
      <c r="E153" s="27"/>
      <c r="F153" s="27"/>
      <c r="G153" s="27"/>
      <c r="H153" s="27"/>
      <c r="I153" s="28"/>
      <c r="J153" s="27"/>
      <c r="K153" s="29"/>
      <c r="L153" s="29"/>
      <c r="M153" s="30" t="str">
        <f aca="false">IF(AND(ISNUMBER(K153),ISNUMBER(L153),K153&gt;0),(K153-L153)/K153,"")</f>
        <v/>
      </c>
      <c r="N153" s="31" t="str">
        <f aca="false">IF(AND(ISNUMBER(L153),ISNUMBER(G153),G153&gt;0),IF(OR(H153="g",H153="ml"),L153/G153*1000,IF(OR(H153="kg",H153="L"),L153/G153,"")),"")</f>
        <v/>
      </c>
      <c r="O153" s="32"/>
      <c r="P153" s="33"/>
      <c r="Q153" s="27"/>
      <c r="R153" s="27"/>
      <c r="S153" s="34"/>
      <c r="T153" s="34"/>
      <c r="U153" s="34"/>
      <c r="V153" s="34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34"/>
    </row>
    <row r="154" customFormat="false" ht="15" hidden="false" customHeight="false" outlineLevel="0" collapsed="false">
      <c r="A154" s="27"/>
      <c r="B154" s="27"/>
      <c r="C154" s="27"/>
      <c r="D154" s="27"/>
      <c r="E154" s="27"/>
      <c r="F154" s="27"/>
      <c r="G154" s="27"/>
      <c r="H154" s="27"/>
      <c r="I154" s="28"/>
      <c r="J154" s="27"/>
      <c r="K154" s="29"/>
      <c r="L154" s="29"/>
      <c r="M154" s="30" t="str">
        <f aca="false">IF(AND(ISNUMBER(K154),ISNUMBER(L154),K154&gt;0),(K154-L154)/K154,"")</f>
        <v/>
      </c>
      <c r="N154" s="31" t="str">
        <f aca="false">IF(AND(ISNUMBER(L154),ISNUMBER(G154),G154&gt;0),IF(OR(H154="g",H154="ml"),L154/G154*1000,IF(OR(H154="kg",H154="L"),L154/G154,"")),"")</f>
        <v/>
      </c>
      <c r="O154" s="32"/>
      <c r="P154" s="33"/>
      <c r="Q154" s="27"/>
      <c r="R154" s="27"/>
      <c r="S154" s="34"/>
      <c r="T154" s="34"/>
      <c r="U154" s="34"/>
      <c r="V154" s="34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34"/>
    </row>
    <row r="155" customFormat="false" ht="15" hidden="false" customHeight="false" outlineLevel="0" collapsed="false">
      <c r="A155" s="27"/>
      <c r="B155" s="27"/>
      <c r="C155" s="27"/>
      <c r="D155" s="27"/>
      <c r="E155" s="27"/>
      <c r="F155" s="27"/>
      <c r="G155" s="27"/>
      <c r="H155" s="27"/>
      <c r="I155" s="28"/>
      <c r="J155" s="27"/>
      <c r="K155" s="29"/>
      <c r="L155" s="29"/>
      <c r="M155" s="30" t="str">
        <f aca="false">IF(AND(ISNUMBER(K155),ISNUMBER(L155),K155&gt;0),(K155-L155)/K155,"")</f>
        <v/>
      </c>
      <c r="N155" s="31" t="str">
        <f aca="false">IF(AND(ISNUMBER(L155),ISNUMBER(G155),G155&gt;0),IF(OR(H155="g",H155="ml"),L155/G155*1000,IF(OR(H155="kg",H155="L"),L155/G155,"")),"")</f>
        <v/>
      </c>
      <c r="O155" s="32"/>
      <c r="P155" s="33"/>
      <c r="Q155" s="27"/>
      <c r="R155" s="27"/>
      <c r="S155" s="34"/>
      <c r="T155" s="34"/>
      <c r="U155" s="34"/>
      <c r="V155" s="34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34"/>
    </row>
    <row r="156" customFormat="false" ht="15" hidden="false" customHeight="false" outlineLevel="0" collapsed="false">
      <c r="A156" s="27"/>
      <c r="B156" s="27"/>
      <c r="C156" s="27"/>
      <c r="D156" s="27"/>
      <c r="E156" s="27"/>
      <c r="F156" s="27"/>
      <c r="G156" s="27"/>
      <c r="H156" s="27"/>
      <c r="I156" s="28"/>
      <c r="J156" s="27"/>
      <c r="K156" s="29"/>
      <c r="L156" s="29"/>
      <c r="M156" s="30" t="str">
        <f aca="false">IF(AND(ISNUMBER(K156),ISNUMBER(L156),K156&gt;0),(K156-L156)/K156,"")</f>
        <v/>
      </c>
      <c r="N156" s="31" t="str">
        <f aca="false">IF(AND(ISNUMBER(L156),ISNUMBER(G156),G156&gt;0),IF(OR(H156="g",H156="ml"),L156/G156*1000,IF(OR(H156="kg",H156="L"),L156/G156,"")),"")</f>
        <v/>
      </c>
      <c r="O156" s="32"/>
      <c r="P156" s="33"/>
      <c r="Q156" s="27"/>
      <c r="R156" s="27"/>
      <c r="S156" s="34"/>
      <c r="T156" s="34"/>
      <c r="U156" s="34"/>
      <c r="V156" s="34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34"/>
    </row>
    <row r="157" customFormat="false" ht="15" hidden="false" customHeight="false" outlineLevel="0" collapsed="false">
      <c r="A157" s="27"/>
      <c r="B157" s="27"/>
      <c r="C157" s="27"/>
      <c r="D157" s="27"/>
      <c r="E157" s="27"/>
      <c r="F157" s="27"/>
      <c r="G157" s="27"/>
      <c r="H157" s="27"/>
      <c r="I157" s="28"/>
      <c r="J157" s="27"/>
      <c r="K157" s="29"/>
      <c r="L157" s="29"/>
      <c r="M157" s="30" t="str">
        <f aca="false">IF(AND(ISNUMBER(K157),ISNUMBER(L157),K157&gt;0),(K157-L157)/K157,"")</f>
        <v/>
      </c>
      <c r="N157" s="31" t="str">
        <f aca="false">IF(AND(ISNUMBER(L157),ISNUMBER(G157),G157&gt;0),IF(OR(H157="g",H157="ml"),L157/G157*1000,IF(OR(H157="kg",H157="L"),L157/G157,"")),"")</f>
        <v/>
      </c>
      <c r="O157" s="32"/>
      <c r="P157" s="33"/>
      <c r="Q157" s="27"/>
      <c r="R157" s="27"/>
      <c r="S157" s="34"/>
      <c r="T157" s="34"/>
      <c r="U157" s="34"/>
      <c r="V157" s="34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34"/>
    </row>
    <row r="158" customFormat="false" ht="15" hidden="false" customHeight="false" outlineLevel="0" collapsed="false">
      <c r="A158" s="27"/>
      <c r="B158" s="27"/>
      <c r="C158" s="27"/>
      <c r="D158" s="27"/>
      <c r="E158" s="27"/>
      <c r="F158" s="27"/>
      <c r="G158" s="27"/>
      <c r="H158" s="27"/>
      <c r="I158" s="28"/>
      <c r="J158" s="27"/>
      <c r="K158" s="29"/>
      <c r="L158" s="29"/>
      <c r="M158" s="30" t="str">
        <f aca="false">IF(AND(ISNUMBER(K158),ISNUMBER(L158),K158&gt;0),(K158-L158)/K158,"")</f>
        <v/>
      </c>
      <c r="N158" s="31" t="str">
        <f aca="false">IF(AND(ISNUMBER(L158),ISNUMBER(G158),G158&gt;0),IF(OR(H158="g",H158="ml"),L158/G158*1000,IF(OR(H158="kg",H158="L"),L158/G158,"")),"")</f>
        <v/>
      </c>
      <c r="O158" s="32"/>
      <c r="P158" s="33"/>
      <c r="Q158" s="27"/>
      <c r="R158" s="27"/>
      <c r="S158" s="34"/>
      <c r="T158" s="34"/>
      <c r="U158" s="34"/>
      <c r="V158" s="34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34"/>
    </row>
    <row r="159" customFormat="false" ht="15" hidden="false" customHeight="false" outlineLevel="0" collapsed="false">
      <c r="A159" s="27"/>
      <c r="B159" s="27"/>
      <c r="C159" s="27"/>
      <c r="D159" s="27"/>
      <c r="E159" s="27"/>
      <c r="F159" s="27"/>
      <c r="G159" s="27"/>
      <c r="H159" s="27"/>
      <c r="I159" s="28"/>
      <c r="J159" s="27"/>
      <c r="K159" s="29"/>
      <c r="L159" s="29"/>
      <c r="M159" s="30" t="str">
        <f aca="false">IF(AND(ISNUMBER(K159),ISNUMBER(L159),K159&gt;0),(K159-L159)/K159,"")</f>
        <v/>
      </c>
      <c r="N159" s="31" t="str">
        <f aca="false">IF(AND(ISNUMBER(L159),ISNUMBER(G159),G159&gt;0),IF(OR(H159="g",H159="ml"),L159/G159*1000,IF(OR(H159="kg",H159="L"),L159/G159,"")),"")</f>
        <v/>
      </c>
      <c r="O159" s="32"/>
      <c r="P159" s="33"/>
      <c r="Q159" s="27"/>
      <c r="R159" s="27"/>
      <c r="S159" s="34"/>
      <c r="T159" s="34"/>
      <c r="U159" s="34"/>
      <c r="V159" s="34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34"/>
    </row>
    <row r="160" customFormat="false" ht="15" hidden="false" customHeight="false" outlineLevel="0" collapsed="false">
      <c r="A160" s="27"/>
      <c r="B160" s="27"/>
      <c r="C160" s="27"/>
      <c r="D160" s="27"/>
      <c r="E160" s="27"/>
      <c r="F160" s="27"/>
      <c r="G160" s="27"/>
      <c r="H160" s="27"/>
      <c r="I160" s="28"/>
      <c r="J160" s="27"/>
      <c r="K160" s="29"/>
      <c r="L160" s="29"/>
      <c r="M160" s="30" t="str">
        <f aca="false">IF(AND(ISNUMBER(K160),ISNUMBER(L160),K160&gt;0),(K160-L160)/K160,"")</f>
        <v/>
      </c>
      <c r="N160" s="31" t="str">
        <f aca="false">IF(AND(ISNUMBER(L160),ISNUMBER(G160),G160&gt;0),IF(OR(H160="g",H160="ml"),L160/G160*1000,IF(OR(H160="kg",H160="L"),L160/G160,"")),"")</f>
        <v/>
      </c>
      <c r="O160" s="32"/>
      <c r="P160" s="33"/>
      <c r="Q160" s="27"/>
      <c r="R160" s="27"/>
      <c r="S160" s="34"/>
      <c r="T160" s="34"/>
      <c r="U160" s="34"/>
      <c r="V160" s="34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34"/>
    </row>
    <row r="161" customFormat="false" ht="15" hidden="false" customHeight="false" outlineLevel="0" collapsed="false">
      <c r="A161" s="27"/>
      <c r="B161" s="27"/>
      <c r="C161" s="27"/>
      <c r="D161" s="27"/>
      <c r="E161" s="27"/>
      <c r="F161" s="27"/>
      <c r="G161" s="27"/>
      <c r="H161" s="27"/>
      <c r="I161" s="28"/>
      <c r="J161" s="27"/>
      <c r="K161" s="29"/>
      <c r="L161" s="29"/>
      <c r="M161" s="30" t="str">
        <f aca="false">IF(AND(ISNUMBER(K161),ISNUMBER(L161),K161&gt;0),(K161-L161)/K161,"")</f>
        <v/>
      </c>
      <c r="N161" s="31" t="str">
        <f aca="false">IF(AND(ISNUMBER(L161),ISNUMBER(G161),G161&gt;0),IF(OR(H161="g",H161="ml"),L161/G161*1000,IF(OR(H161="kg",H161="L"),L161/G161,"")),"")</f>
        <v/>
      </c>
      <c r="O161" s="32"/>
      <c r="P161" s="33"/>
      <c r="Q161" s="27"/>
      <c r="R161" s="27"/>
      <c r="S161" s="34"/>
      <c r="T161" s="34"/>
      <c r="U161" s="34"/>
      <c r="V161" s="34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34"/>
    </row>
    <row r="162" customFormat="false" ht="15" hidden="false" customHeight="false" outlineLevel="0" collapsed="false">
      <c r="A162" s="27"/>
      <c r="B162" s="27"/>
      <c r="C162" s="27"/>
      <c r="D162" s="27"/>
      <c r="E162" s="27"/>
      <c r="F162" s="27"/>
      <c r="G162" s="27"/>
      <c r="H162" s="27"/>
      <c r="I162" s="28"/>
      <c r="J162" s="27"/>
      <c r="K162" s="29"/>
      <c r="L162" s="29"/>
      <c r="M162" s="30" t="str">
        <f aca="false">IF(AND(ISNUMBER(K162),ISNUMBER(L162),K162&gt;0),(K162-L162)/K162,"")</f>
        <v/>
      </c>
      <c r="N162" s="31" t="str">
        <f aca="false">IF(AND(ISNUMBER(L162),ISNUMBER(G162),G162&gt;0),IF(OR(H162="g",H162="ml"),L162/G162*1000,IF(OR(H162="kg",H162="L"),L162/G162,"")),"")</f>
        <v/>
      </c>
      <c r="O162" s="32"/>
      <c r="P162" s="33"/>
      <c r="Q162" s="27"/>
      <c r="R162" s="27"/>
      <c r="S162" s="34"/>
      <c r="T162" s="34"/>
      <c r="U162" s="34"/>
      <c r="V162" s="34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34"/>
    </row>
    <row r="163" customFormat="false" ht="15" hidden="false" customHeight="false" outlineLevel="0" collapsed="false">
      <c r="A163" s="27"/>
      <c r="B163" s="27"/>
      <c r="C163" s="27"/>
      <c r="D163" s="27"/>
      <c r="E163" s="27"/>
      <c r="F163" s="27"/>
      <c r="G163" s="27"/>
      <c r="H163" s="27"/>
      <c r="I163" s="28"/>
      <c r="J163" s="27"/>
      <c r="K163" s="29"/>
      <c r="L163" s="29"/>
      <c r="M163" s="30" t="str">
        <f aca="false">IF(AND(ISNUMBER(K163),ISNUMBER(L163),K163&gt;0),(K163-L163)/K163,"")</f>
        <v/>
      </c>
      <c r="N163" s="31" t="str">
        <f aca="false">IF(AND(ISNUMBER(L163),ISNUMBER(G163),G163&gt;0),IF(OR(H163="g",H163="ml"),L163/G163*1000,IF(OR(H163="kg",H163="L"),L163/G163,"")),"")</f>
        <v/>
      </c>
      <c r="O163" s="32"/>
      <c r="P163" s="33"/>
      <c r="Q163" s="27"/>
      <c r="R163" s="27"/>
      <c r="S163" s="34"/>
      <c r="T163" s="34"/>
      <c r="U163" s="34"/>
      <c r="V163" s="34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34"/>
    </row>
    <row r="164" customFormat="false" ht="15" hidden="false" customHeight="false" outlineLevel="0" collapsed="false">
      <c r="A164" s="27"/>
      <c r="B164" s="27"/>
      <c r="C164" s="27"/>
      <c r="D164" s="27"/>
      <c r="E164" s="27"/>
      <c r="F164" s="27"/>
      <c r="G164" s="27"/>
      <c r="H164" s="27"/>
      <c r="I164" s="28"/>
      <c r="J164" s="27"/>
      <c r="K164" s="29"/>
      <c r="L164" s="29"/>
      <c r="M164" s="30" t="str">
        <f aca="false">IF(AND(ISNUMBER(K164),ISNUMBER(L164),K164&gt;0),(K164-L164)/K164,"")</f>
        <v/>
      </c>
      <c r="N164" s="31" t="str">
        <f aca="false">IF(AND(ISNUMBER(L164),ISNUMBER(G164),G164&gt;0),IF(OR(H164="g",H164="ml"),L164/G164*1000,IF(OR(H164="kg",H164="L"),L164/G164,"")),"")</f>
        <v/>
      </c>
      <c r="O164" s="32"/>
      <c r="P164" s="33"/>
      <c r="Q164" s="27"/>
      <c r="R164" s="27"/>
      <c r="S164" s="34"/>
      <c r="T164" s="34"/>
      <c r="U164" s="34"/>
      <c r="V164" s="34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34"/>
    </row>
    <row r="165" customFormat="false" ht="15" hidden="false" customHeight="false" outlineLevel="0" collapsed="false">
      <c r="A165" s="27"/>
      <c r="B165" s="27"/>
      <c r="C165" s="27"/>
      <c r="D165" s="27"/>
      <c r="E165" s="27"/>
      <c r="F165" s="27"/>
      <c r="G165" s="27"/>
      <c r="H165" s="27"/>
      <c r="I165" s="28"/>
      <c r="J165" s="27"/>
      <c r="K165" s="29"/>
      <c r="L165" s="29"/>
      <c r="M165" s="30" t="str">
        <f aca="false">IF(AND(ISNUMBER(K165),ISNUMBER(L165),K165&gt;0),(K165-L165)/K165,"")</f>
        <v/>
      </c>
      <c r="N165" s="31" t="str">
        <f aca="false">IF(AND(ISNUMBER(L165),ISNUMBER(G165),G165&gt;0),IF(OR(H165="g",H165="ml"),L165/G165*1000,IF(OR(H165="kg",H165="L"),L165/G165,"")),"")</f>
        <v/>
      </c>
      <c r="O165" s="32"/>
      <c r="P165" s="33"/>
      <c r="Q165" s="27"/>
      <c r="R165" s="27"/>
      <c r="S165" s="34"/>
      <c r="T165" s="34"/>
      <c r="U165" s="34"/>
      <c r="V165" s="34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34"/>
    </row>
    <row r="166" customFormat="false" ht="15" hidden="false" customHeight="false" outlineLevel="0" collapsed="false">
      <c r="A166" s="27"/>
      <c r="B166" s="27"/>
      <c r="C166" s="27"/>
      <c r="D166" s="27"/>
      <c r="E166" s="27"/>
      <c r="F166" s="27"/>
      <c r="G166" s="27"/>
      <c r="H166" s="27"/>
      <c r="I166" s="28"/>
      <c r="J166" s="27"/>
      <c r="K166" s="29"/>
      <c r="L166" s="29"/>
      <c r="M166" s="30" t="str">
        <f aca="false">IF(AND(ISNUMBER(K166),ISNUMBER(L166),K166&gt;0),(K166-L166)/K166,"")</f>
        <v/>
      </c>
      <c r="N166" s="31" t="str">
        <f aca="false">IF(AND(ISNUMBER(L166),ISNUMBER(G166),G166&gt;0),IF(OR(H166="g",H166="ml"),L166/G166*1000,IF(OR(H166="kg",H166="L"),L166/G166,"")),"")</f>
        <v/>
      </c>
      <c r="O166" s="32"/>
      <c r="P166" s="33"/>
      <c r="Q166" s="27"/>
      <c r="R166" s="27"/>
      <c r="S166" s="34"/>
      <c r="T166" s="34"/>
      <c r="U166" s="34"/>
      <c r="V166" s="34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34"/>
    </row>
    <row r="167" customFormat="false" ht="15" hidden="false" customHeight="false" outlineLevel="0" collapsed="false">
      <c r="A167" s="27"/>
      <c r="B167" s="27"/>
      <c r="C167" s="27"/>
      <c r="D167" s="27"/>
      <c r="E167" s="27"/>
      <c r="F167" s="27"/>
      <c r="G167" s="27"/>
      <c r="H167" s="27"/>
      <c r="I167" s="28"/>
      <c r="J167" s="27"/>
      <c r="K167" s="29"/>
      <c r="L167" s="29"/>
      <c r="M167" s="30" t="str">
        <f aca="false">IF(AND(ISNUMBER(K167),ISNUMBER(L167),K167&gt;0),(K167-L167)/K167,"")</f>
        <v/>
      </c>
      <c r="N167" s="31" t="str">
        <f aca="false">IF(AND(ISNUMBER(L167),ISNUMBER(G167),G167&gt;0),IF(OR(H167="g",H167="ml"),L167/G167*1000,IF(OR(H167="kg",H167="L"),L167/G167,"")),"")</f>
        <v/>
      </c>
      <c r="O167" s="32"/>
      <c r="P167" s="33"/>
      <c r="Q167" s="27"/>
      <c r="R167" s="27"/>
      <c r="S167" s="34"/>
      <c r="T167" s="34"/>
      <c r="U167" s="34"/>
      <c r="V167" s="34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34"/>
    </row>
    <row r="168" customFormat="false" ht="15" hidden="false" customHeight="false" outlineLevel="0" collapsed="false">
      <c r="A168" s="27"/>
      <c r="B168" s="27"/>
      <c r="C168" s="27"/>
      <c r="D168" s="27"/>
      <c r="E168" s="27"/>
      <c r="F168" s="27"/>
      <c r="G168" s="27"/>
      <c r="H168" s="27"/>
      <c r="I168" s="28"/>
      <c r="J168" s="27"/>
      <c r="K168" s="29"/>
      <c r="L168" s="29"/>
      <c r="M168" s="30" t="str">
        <f aca="false">IF(AND(ISNUMBER(K168),ISNUMBER(L168),K168&gt;0),(K168-L168)/K168,"")</f>
        <v/>
      </c>
      <c r="N168" s="31" t="str">
        <f aca="false">IF(AND(ISNUMBER(L168),ISNUMBER(G168),G168&gt;0),IF(OR(H168="g",H168="ml"),L168/G168*1000,IF(OR(H168="kg",H168="L"),L168/G168,"")),"")</f>
        <v/>
      </c>
      <c r="O168" s="32"/>
      <c r="P168" s="33"/>
      <c r="Q168" s="27"/>
      <c r="R168" s="27"/>
      <c r="S168" s="34"/>
      <c r="T168" s="34"/>
      <c r="U168" s="34"/>
      <c r="V168" s="34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34"/>
    </row>
    <row r="169" customFormat="false" ht="15" hidden="false" customHeight="false" outlineLevel="0" collapsed="false">
      <c r="A169" s="27"/>
      <c r="B169" s="27"/>
      <c r="C169" s="27"/>
      <c r="D169" s="27"/>
      <c r="E169" s="27"/>
      <c r="F169" s="27"/>
      <c r="G169" s="27"/>
      <c r="H169" s="27"/>
      <c r="I169" s="28"/>
      <c r="J169" s="27"/>
      <c r="K169" s="29"/>
      <c r="L169" s="29"/>
      <c r="M169" s="30" t="str">
        <f aca="false">IF(AND(ISNUMBER(K169),ISNUMBER(L169),K169&gt;0),(K169-L169)/K169,"")</f>
        <v/>
      </c>
      <c r="N169" s="31" t="str">
        <f aca="false">IF(AND(ISNUMBER(L169),ISNUMBER(G169),G169&gt;0),IF(OR(H169="g",H169="ml"),L169/G169*1000,IF(OR(H169="kg",H169="L"),L169/G169,"")),"")</f>
        <v/>
      </c>
      <c r="O169" s="32"/>
      <c r="P169" s="33"/>
      <c r="Q169" s="27"/>
      <c r="R169" s="27"/>
      <c r="S169" s="34"/>
      <c r="T169" s="34"/>
      <c r="U169" s="34"/>
      <c r="V169" s="34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34"/>
    </row>
    <row r="170" customFormat="false" ht="15" hidden="false" customHeight="false" outlineLevel="0" collapsed="false">
      <c r="A170" s="27"/>
      <c r="B170" s="27"/>
      <c r="C170" s="27"/>
      <c r="D170" s="27"/>
      <c r="E170" s="27"/>
      <c r="F170" s="27"/>
      <c r="G170" s="27"/>
      <c r="H170" s="27"/>
      <c r="I170" s="28"/>
      <c r="J170" s="27"/>
      <c r="K170" s="29"/>
      <c r="L170" s="29"/>
      <c r="M170" s="30" t="str">
        <f aca="false">IF(AND(ISNUMBER(K170),ISNUMBER(L170),K170&gt;0),(K170-L170)/K170,"")</f>
        <v/>
      </c>
      <c r="N170" s="31" t="str">
        <f aca="false">IF(AND(ISNUMBER(L170),ISNUMBER(G170),G170&gt;0),IF(OR(H170="g",H170="ml"),L170/G170*1000,IF(OR(H170="kg",H170="L"),L170/G170,"")),"")</f>
        <v/>
      </c>
      <c r="O170" s="32"/>
      <c r="P170" s="33"/>
      <c r="Q170" s="27"/>
      <c r="R170" s="27"/>
      <c r="S170" s="34"/>
      <c r="T170" s="34"/>
      <c r="U170" s="34"/>
      <c r="V170" s="34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34"/>
    </row>
    <row r="171" customFormat="false" ht="15" hidden="false" customHeight="false" outlineLevel="0" collapsed="false">
      <c r="A171" s="27"/>
      <c r="B171" s="27"/>
      <c r="C171" s="27"/>
      <c r="D171" s="27"/>
      <c r="E171" s="27"/>
      <c r="F171" s="27"/>
      <c r="G171" s="27"/>
      <c r="H171" s="27"/>
      <c r="I171" s="28"/>
      <c r="J171" s="27"/>
      <c r="K171" s="29"/>
      <c r="L171" s="29"/>
      <c r="M171" s="30" t="str">
        <f aca="false">IF(AND(ISNUMBER(K171),ISNUMBER(L171),K171&gt;0),(K171-L171)/K171,"")</f>
        <v/>
      </c>
      <c r="N171" s="31" t="str">
        <f aca="false">IF(AND(ISNUMBER(L171),ISNUMBER(G171),G171&gt;0),IF(OR(H171="g",H171="ml"),L171/G171*1000,IF(OR(H171="kg",H171="L"),L171/G171,"")),"")</f>
        <v/>
      </c>
      <c r="O171" s="32"/>
      <c r="P171" s="33"/>
      <c r="Q171" s="27"/>
      <c r="R171" s="27"/>
      <c r="S171" s="34"/>
      <c r="T171" s="34"/>
      <c r="U171" s="34"/>
      <c r="V171" s="34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34"/>
    </row>
    <row r="172" customFormat="false" ht="15" hidden="false" customHeight="false" outlineLevel="0" collapsed="false">
      <c r="A172" s="27"/>
      <c r="B172" s="27"/>
      <c r="C172" s="27"/>
      <c r="D172" s="27"/>
      <c r="E172" s="27"/>
      <c r="F172" s="27"/>
      <c r="G172" s="27"/>
      <c r="H172" s="27"/>
      <c r="I172" s="28"/>
      <c r="J172" s="27"/>
      <c r="K172" s="29"/>
      <c r="L172" s="29"/>
      <c r="M172" s="30" t="str">
        <f aca="false">IF(AND(ISNUMBER(K172),ISNUMBER(L172),K172&gt;0),(K172-L172)/K172,"")</f>
        <v/>
      </c>
      <c r="N172" s="31" t="str">
        <f aca="false">IF(AND(ISNUMBER(L172),ISNUMBER(G172),G172&gt;0),IF(OR(H172="g",H172="ml"),L172/G172*1000,IF(OR(H172="kg",H172="L"),L172/G172,"")),"")</f>
        <v/>
      </c>
      <c r="O172" s="32"/>
      <c r="P172" s="33"/>
      <c r="Q172" s="27"/>
      <c r="R172" s="27"/>
      <c r="S172" s="34"/>
      <c r="T172" s="34"/>
      <c r="U172" s="34"/>
      <c r="V172" s="34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34"/>
    </row>
    <row r="173" customFormat="false" ht="15" hidden="false" customHeight="false" outlineLevel="0" collapsed="false">
      <c r="A173" s="27"/>
      <c r="B173" s="27"/>
      <c r="C173" s="27"/>
      <c r="D173" s="27"/>
      <c r="E173" s="27"/>
      <c r="F173" s="27"/>
      <c r="G173" s="27"/>
      <c r="H173" s="27"/>
      <c r="I173" s="28"/>
      <c r="J173" s="27"/>
      <c r="K173" s="29"/>
      <c r="L173" s="29"/>
      <c r="M173" s="30" t="str">
        <f aca="false">IF(AND(ISNUMBER(K173),ISNUMBER(L173),K173&gt;0),(K173-L173)/K173,"")</f>
        <v/>
      </c>
      <c r="N173" s="31" t="str">
        <f aca="false">IF(AND(ISNUMBER(L173),ISNUMBER(G173),G173&gt;0),IF(OR(H173="g",H173="ml"),L173/G173*1000,IF(OR(H173="kg",H173="L"),L173/G173,"")),"")</f>
        <v/>
      </c>
      <c r="O173" s="32"/>
      <c r="P173" s="33"/>
      <c r="Q173" s="27"/>
      <c r="R173" s="27"/>
      <c r="S173" s="34"/>
      <c r="T173" s="34"/>
      <c r="U173" s="34"/>
      <c r="V173" s="34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34"/>
    </row>
    <row r="174" customFormat="false" ht="15" hidden="false" customHeight="false" outlineLevel="0" collapsed="false">
      <c r="A174" s="27"/>
      <c r="B174" s="27"/>
      <c r="C174" s="27"/>
      <c r="D174" s="27"/>
      <c r="E174" s="27"/>
      <c r="F174" s="27"/>
      <c r="G174" s="27"/>
      <c r="H174" s="27"/>
      <c r="I174" s="28"/>
      <c r="J174" s="27"/>
      <c r="K174" s="29"/>
      <c r="L174" s="29"/>
      <c r="M174" s="30" t="str">
        <f aca="false">IF(AND(ISNUMBER(K174),ISNUMBER(L174),K174&gt;0),(K174-L174)/K174,"")</f>
        <v/>
      </c>
      <c r="N174" s="31" t="str">
        <f aca="false">IF(AND(ISNUMBER(L174),ISNUMBER(G174),G174&gt;0),IF(OR(H174="g",H174="ml"),L174/G174*1000,IF(OR(H174="kg",H174="L"),L174/G174,"")),"")</f>
        <v/>
      </c>
      <c r="O174" s="32"/>
      <c r="P174" s="33"/>
      <c r="Q174" s="27"/>
      <c r="R174" s="27"/>
      <c r="S174" s="34"/>
      <c r="T174" s="34"/>
      <c r="U174" s="34"/>
      <c r="V174" s="34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34"/>
    </row>
    <row r="175" customFormat="false" ht="15" hidden="false" customHeight="false" outlineLevel="0" collapsed="false">
      <c r="A175" s="27"/>
      <c r="B175" s="27"/>
      <c r="C175" s="27"/>
      <c r="D175" s="27"/>
      <c r="E175" s="27"/>
      <c r="F175" s="27"/>
      <c r="G175" s="27"/>
      <c r="H175" s="27"/>
      <c r="I175" s="28"/>
      <c r="J175" s="27"/>
      <c r="K175" s="29"/>
      <c r="L175" s="29"/>
      <c r="M175" s="30" t="str">
        <f aca="false">IF(AND(ISNUMBER(K175),ISNUMBER(L175),K175&gt;0),(K175-L175)/K175,"")</f>
        <v/>
      </c>
      <c r="N175" s="31" t="str">
        <f aca="false">IF(AND(ISNUMBER(L175),ISNUMBER(G175),G175&gt;0),IF(OR(H175="g",H175="ml"),L175/G175*1000,IF(OR(H175="kg",H175="L"),L175/G175,"")),"")</f>
        <v/>
      </c>
      <c r="O175" s="32"/>
      <c r="P175" s="33"/>
      <c r="Q175" s="27"/>
      <c r="R175" s="27"/>
      <c r="S175" s="34"/>
      <c r="T175" s="34"/>
      <c r="U175" s="34"/>
      <c r="V175" s="34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34"/>
    </row>
    <row r="176" customFormat="false" ht="15" hidden="false" customHeight="false" outlineLevel="0" collapsed="false">
      <c r="A176" s="27"/>
      <c r="B176" s="27"/>
      <c r="C176" s="27"/>
      <c r="D176" s="27"/>
      <c r="E176" s="27"/>
      <c r="F176" s="27"/>
      <c r="G176" s="27"/>
      <c r="H176" s="27"/>
      <c r="I176" s="28"/>
      <c r="J176" s="27"/>
      <c r="K176" s="29"/>
      <c r="L176" s="29"/>
      <c r="M176" s="30" t="str">
        <f aca="false">IF(AND(ISNUMBER(K176),ISNUMBER(L176),K176&gt;0),(K176-L176)/K176,"")</f>
        <v/>
      </c>
      <c r="N176" s="31" t="str">
        <f aca="false">IF(AND(ISNUMBER(L176),ISNUMBER(G176),G176&gt;0),IF(OR(H176="g",H176="ml"),L176/G176*1000,IF(OR(H176="kg",H176="L"),L176/G176,"")),"")</f>
        <v/>
      </c>
      <c r="O176" s="32"/>
      <c r="P176" s="33"/>
      <c r="Q176" s="27"/>
      <c r="R176" s="27"/>
      <c r="S176" s="34"/>
      <c r="T176" s="34"/>
      <c r="U176" s="34"/>
      <c r="V176" s="34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34"/>
    </row>
    <row r="177" customFormat="false" ht="15" hidden="false" customHeight="false" outlineLevel="0" collapsed="false">
      <c r="A177" s="27"/>
      <c r="B177" s="27"/>
      <c r="C177" s="27"/>
      <c r="D177" s="27"/>
      <c r="E177" s="27"/>
      <c r="F177" s="27"/>
      <c r="G177" s="27"/>
      <c r="H177" s="27"/>
      <c r="I177" s="28"/>
      <c r="J177" s="27"/>
      <c r="K177" s="29"/>
      <c r="L177" s="29"/>
      <c r="M177" s="30" t="str">
        <f aca="false">IF(AND(ISNUMBER(K177),ISNUMBER(L177),K177&gt;0),(K177-L177)/K177,"")</f>
        <v/>
      </c>
      <c r="N177" s="31" t="str">
        <f aca="false">IF(AND(ISNUMBER(L177),ISNUMBER(G177),G177&gt;0),IF(OR(H177="g",H177="ml"),L177/G177*1000,IF(OR(H177="kg",H177="L"),L177/G177,"")),"")</f>
        <v/>
      </c>
      <c r="O177" s="32"/>
      <c r="P177" s="33"/>
      <c r="Q177" s="27"/>
      <c r="R177" s="27"/>
      <c r="S177" s="34"/>
      <c r="T177" s="34"/>
      <c r="U177" s="34"/>
      <c r="V177" s="34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34"/>
    </row>
    <row r="178" customFormat="false" ht="15" hidden="false" customHeight="false" outlineLevel="0" collapsed="false">
      <c r="A178" s="27"/>
      <c r="B178" s="27"/>
      <c r="C178" s="27"/>
      <c r="D178" s="27"/>
      <c r="E178" s="27"/>
      <c r="F178" s="27"/>
      <c r="G178" s="27"/>
      <c r="H178" s="27"/>
      <c r="I178" s="28"/>
      <c r="J178" s="27"/>
      <c r="K178" s="29"/>
      <c r="L178" s="29"/>
      <c r="M178" s="30" t="str">
        <f aca="false">IF(AND(ISNUMBER(K178),ISNUMBER(L178),K178&gt;0),(K178-L178)/K178,"")</f>
        <v/>
      </c>
      <c r="N178" s="31" t="str">
        <f aca="false">IF(AND(ISNUMBER(L178),ISNUMBER(G178),G178&gt;0),IF(OR(H178="g",H178="ml"),L178/G178*1000,IF(OR(H178="kg",H178="L"),L178/G178,"")),"")</f>
        <v/>
      </c>
      <c r="O178" s="32"/>
      <c r="P178" s="33"/>
      <c r="Q178" s="27"/>
      <c r="R178" s="27"/>
      <c r="S178" s="34"/>
      <c r="T178" s="34"/>
      <c r="U178" s="34"/>
      <c r="V178" s="34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34"/>
    </row>
    <row r="179" customFormat="false" ht="15" hidden="false" customHeight="false" outlineLevel="0" collapsed="false">
      <c r="A179" s="27"/>
      <c r="B179" s="27"/>
      <c r="C179" s="27"/>
      <c r="D179" s="27"/>
      <c r="E179" s="27"/>
      <c r="F179" s="27"/>
      <c r="G179" s="27"/>
      <c r="H179" s="27"/>
      <c r="I179" s="28"/>
      <c r="J179" s="27"/>
      <c r="K179" s="29"/>
      <c r="L179" s="29"/>
      <c r="M179" s="30" t="str">
        <f aca="false">IF(AND(ISNUMBER(K179),ISNUMBER(L179),K179&gt;0),(K179-L179)/K179,"")</f>
        <v/>
      </c>
      <c r="N179" s="31" t="str">
        <f aca="false">IF(AND(ISNUMBER(L179),ISNUMBER(G179),G179&gt;0),IF(OR(H179="g",H179="ml"),L179/G179*1000,IF(OR(H179="kg",H179="L"),L179/G179,"")),"")</f>
        <v/>
      </c>
      <c r="O179" s="32"/>
      <c r="P179" s="33"/>
      <c r="Q179" s="27"/>
      <c r="R179" s="27"/>
      <c r="S179" s="34"/>
      <c r="T179" s="34"/>
      <c r="U179" s="34"/>
      <c r="V179" s="34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34"/>
    </row>
    <row r="180" customFormat="false" ht="15" hidden="false" customHeight="false" outlineLevel="0" collapsed="false">
      <c r="A180" s="27"/>
      <c r="B180" s="27"/>
      <c r="C180" s="27"/>
      <c r="D180" s="27"/>
      <c r="E180" s="27"/>
      <c r="F180" s="27"/>
      <c r="G180" s="27"/>
      <c r="H180" s="27"/>
      <c r="I180" s="28"/>
      <c r="J180" s="27"/>
      <c r="K180" s="29"/>
      <c r="L180" s="29"/>
      <c r="M180" s="30" t="str">
        <f aca="false">IF(AND(ISNUMBER(K180),ISNUMBER(L180),K180&gt;0),(K180-L180)/K180,"")</f>
        <v/>
      </c>
      <c r="N180" s="31" t="str">
        <f aca="false">IF(AND(ISNUMBER(L180),ISNUMBER(G180),G180&gt;0),IF(OR(H180="g",H180="ml"),L180/G180*1000,IF(OR(H180="kg",H180="L"),L180/G180,"")),"")</f>
        <v/>
      </c>
      <c r="O180" s="32"/>
      <c r="P180" s="33"/>
      <c r="Q180" s="27"/>
      <c r="R180" s="27"/>
      <c r="S180" s="34"/>
      <c r="T180" s="34"/>
      <c r="U180" s="34"/>
      <c r="V180" s="34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34"/>
    </row>
    <row r="181" customFormat="false" ht="15" hidden="false" customHeight="false" outlineLevel="0" collapsed="false">
      <c r="A181" s="27"/>
      <c r="B181" s="27"/>
      <c r="C181" s="27"/>
      <c r="D181" s="27"/>
      <c r="E181" s="27"/>
      <c r="F181" s="27"/>
      <c r="G181" s="27"/>
      <c r="H181" s="27"/>
      <c r="I181" s="28"/>
      <c r="J181" s="27"/>
      <c r="K181" s="29"/>
      <c r="L181" s="29"/>
      <c r="M181" s="30" t="str">
        <f aca="false">IF(AND(ISNUMBER(K181),ISNUMBER(L181),K181&gt;0),(K181-L181)/K181,"")</f>
        <v/>
      </c>
      <c r="N181" s="31" t="str">
        <f aca="false">IF(AND(ISNUMBER(L181),ISNUMBER(G181),G181&gt;0),IF(OR(H181="g",H181="ml"),L181/G181*1000,IF(OR(H181="kg",H181="L"),L181/G181,"")),"")</f>
        <v/>
      </c>
      <c r="O181" s="32"/>
      <c r="P181" s="33"/>
      <c r="Q181" s="27"/>
      <c r="R181" s="27"/>
      <c r="S181" s="34"/>
      <c r="T181" s="34"/>
      <c r="U181" s="34"/>
      <c r="V181" s="34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34"/>
    </row>
    <row r="182" customFormat="false" ht="15" hidden="false" customHeight="false" outlineLevel="0" collapsed="false">
      <c r="A182" s="27"/>
      <c r="B182" s="27"/>
      <c r="C182" s="27"/>
      <c r="D182" s="27"/>
      <c r="E182" s="27"/>
      <c r="F182" s="27"/>
      <c r="G182" s="27"/>
      <c r="H182" s="27"/>
      <c r="I182" s="28"/>
      <c r="J182" s="27"/>
      <c r="K182" s="29"/>
      <c r="L182" s="29"/>
      <c r="M182" s="30" t="str">
        <f aca="false">IF(AND(ISNUMBER(K182),ISNUMBER(L182),K182&gt;0),(K182-L182)/K182,"")</f>
        <v/>
      </c>
      <c r="N182" s="31" t="str">
        <f aca="false">IF(AND(ISNUMBER(L182),ISNUMBER(G182),G182&gt;0),IF(OR(H182="g",H182="ml"),L182/G182*1000,IF(OR(H182="kg",H182="L"),L182/G182,"")),"")</f>
        <v/>
      </c>
      <c r="O182" s="32"/>
      <c r="P182" s="33"/>
      <c r="Q182" s="27"/>
      <c r="R182" s="27"/>
      <c r="S182" s="34"/>
      <c r="T182" s="34"/>
      <c r="U182" s="34"/>
      <c r="V182" s="34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34"/>
    </row>
    <row r="183" customFormat="false" ht="15" hidden="false" customHeight="false" outlineLevel="0" collapsed="false">
      <c r="A183" s="27"/>
      <c r="B183" s="27"/>
      <c r="C183" s="27"/>
      <c r="D183" s="27"/>
      <c r="E183" s="27"/>
      <c r="F183" s="27"/>
      <c r="G183" s="27"/>
      <c r="H183" s="27"/>
      <c r="I183" s="28"/>
      <c r="J183" s="27"/>
      <c r="K183" s="29"/>
      <c r="L183" s="29"/>
      <c r="M183" s="30" t="str">
        <f aca="false">IF(AND(ISNUMBER(K183),ISNUMBER(L183),K183&gt;0),(K183-L183)/K183,"")</f>
        <v/>
      </c>
      <c r="N183" s="31" t="str">
        <f aca="false">IF(AND(ISNUMBER(L183),ISNUMBER(G183),G183&gt;0),IF(OR(H183="g",H183="ml"),L183/G183*1000,IF(OR(H183="kg",H183="L"),L183/G183,"")),"")</f>
        <v/>
      </c>
      <c r="O183" s="32"/>
      <c r="P183" s="33"/>
      <c r="Q183" s="27"/>
      <c r="R183" s="27"/>
      <c r="S183" s="34"/>
      <c r="T183" s="34"/>
      <c r="U183" s="34"/>
      <c r="V183" s="34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34"/>
    </row>
    <row r="184" customFormat="false" ht="15" hidden="false" customHeight="false" outlineLevel="0" collapsed="false">
      <c r="A184" s="27"/>
      <c r="B184" s="27"/>
      <c r="C184" s="27"/>
      <c r="D184" s="27"/>
      <c r="E184" s="27"/>
      <c r="F184" s="27"/>
      <c r="G184" s="27"/>
      <c r="H184" s="27"/>
      <c r="I184" s="28"/>
      <c r="J184" s="27"/>
      <c r="K184" s="29"/>
      <c r="L184" s="29"/>
      <c r="M184" s="30" t="str">
        <f aca="false">IF(AND(ISNUMBER(K184),ISNUMBER(L184),K184&gt;0),(K184-L184)/K184,"")</f>
        <v/>
      </c>
      <c r="N184" s="31" t="str">
        <f aca="false">IF(AND(ISNUMBER(L184),ISNUMBER(G184),G184&gt;0),IF(OR(H184="g",H184="ml"),L184/G184*1000,IF(OR(H184="kg",H184="L"),L184/G184,"")),"")</f>
        <v/>
      </c>
      <c r="O184" s="32"/>
      <c r="P184" s="33"/>
      <c r="Q184" s="27"/>
      <c r="R184" s="27"/>
      <c r="S184" s="34"/>
      <c r="T184" s="34"/>
      <c r="U184" s="34"/>
      <c r="V184" s="34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34"/>
    </row>
    <row r="185" customFormat="false" ht="15" hidden="false" customHeight="false" outlineLevel="0" collapsed="false">
      <c r="A185" s="27"/>
      <c r="B185" s="27"/>
      <c r="C185" s="27"/>
      <c r="D185" s="27"/>
      <c r="E185" s="27"/>
      <c r="F185" s="27"/>
      <c r="G185" s="27"/>
      <c r="H185" s="27"/>
      <c r="I185" s="28"/>
      <c r="J185" s="27"/>
      <c r="K185" s="29"/>
      <c r="L185" s="29"/>
      <c r="M185" s="30" t="str">
        <f aca="false">IF(AND(ISNUMBER(K185),ISNUMBER(L185),K185&gt;0),(K185-L185)/K185,"")</f>
        <v/>
      </c>
      <c r="N185" s="31" t="str">
        <f aca="false">IF(AND(ISNUMBER(L185),ISNUMBER(G185),G185&gt;0),IF(OR(H185="g",H185="ml"),L185/G185*1000,IF(OR(H185="kg",H185="L"),L185/G185,"")),"")</f>
        <v/>
      </c>
      <c r="O185" s="32"/>
      <c r="P185" s="33"/>
      <c r="Q185" s="27"/>
      <c r="R185" s="27"/>
      <c r="S185" s="34"/>
      <c r="T185" s="34"/>
      <c r="U185" s="34"/>
      <c r="V185" s="34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34"/>
    </row>
    <row r="186" customFormat="false" ht="15" hidden="false" customHeight="false" outlineLevel="0" collapsed="false">
      <c r="A186" s="27"/>
      <c r="B186" s="27"/>
      <c r="C186" s="27"/>
      <c r="D186" s="27"/>
      <c r="E186" s="27"/>
      <c r="F186" s="27"/>
      <c r="G186" s="27"/>
      <c r="H186" s="27"/>
      <c r="I186" s="28"/>
      <c r="J186" s="27"/>
      <c r="K186" s="29"/>
      <c r="L186" s="29"/>
      <c r="M186" s="30" t="str">
        <f aca="false">IF(AND(ISNUMBER(K186),ISNUMBER(L186),K186&gt;0),(K186-L186)/K186,"")</f>
        <v/>
      </c>
      <c r="N186" s="31" t="str">
        <f aca="false">IF(AND(ISNUMBER(L186),ISNUMBER(G186),G186&gt;0),IF(OR(H186="g",H186="ml"),L186/G186*1000,IF(OR(H186="kg",H186="L"),L186/G186,"")),"")</f>
        <v/>
      </c>
      <c r="O186" s="32"/>
      <c r="P186" s="33"/>
      <c r="Q186" s="27"/>
      <c r="R186" s="27"/>
      <c r="S186" s="34"/>
      <c r="T186" s="34"/>
      <c r="U186" s="34"/>
      <c r="V186" s="34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34"/>
    </row>
    <row r="187" customFormat="false" ht="15" hidden="false" customHeight="false" outlineLevel="0" collapsed="false">
      <c r="A187" s="27"/>
      <c r="B187" s="27"/>
      <c r="C187" s="27"/>
      <c r="D187" s="27"/>
      <c r="E187" s="27"/>
      <c r="F187" s="27"/>
      <c r="G187" s="27"/>
      <c r="H187" s="27"/>
      <c r="I187" s="28"/>
      <c r="J187" s="27"/>
      <c r="K187" s="29"/>
      <c r="L187" s="29"/>
      <c r="M187" s="30" t="str">
        <f aca="false">IF(AND(ISNUMBER(K187),ISNUMBER(L187),K187&gt;0),(K187-L187)/K187,"")</f>
        <v/>
      </c>
      <c r="N187" s="31" t="str">
        <f aca="false">IF(AND(ISNUMBER(L187),ISNUMBER(G187),G187&gt;0),IF(OR(H187="g",H187="ml"),L187/G187*1000,IF(OR(H187="kg",H187="L"),L187/G187,"")),"")</f>
        <v/>
      </c>
      <c r="O187" s="32"/>
      <c r="P187" s="33"/>
      <c r="Q187" s="27"/>
      <c r="R187" s="27"/>
      <c r="S187" s="34"/>
      <c r="T187" s="34"/>
      <c r="U187" s="34"/>
      <c r="V187" s="34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34"/>
    </row>
    <row r="188" customFormat="false" ht="15" hidden="false" customHeight="false" outlineLevel="0" collapsed="false">
      <c r="A188" s="27"/>
      <c r="B188" s="27"/>
      <c r="C188" s="27"/>
      <c r="D188" s="27"/>
      <c r="E188" s="27"/>
      <c r="F188" s="27"/>
      <c r="G188" s="27"/>
      <c r="H188" s="27"/>
      <c r="I188" s="28"/>
      <c r="J188" s="27"/>
      <c r="K188" s="29"/>
      <c r="L188" s="29"/>
      <c r="M188" s="30" t="str">
        <f aca="false">IF(AND(ISNUMBER(K188),ISNUMBER(L188),K188&gt;0),(K188-L188)/K188,"")</f>
        <v/>
      </c>
      <c r="N188" s="31" t="str">
        <f aca="false">IF(AND(ISNUMBER(L188),ISNUMBER(G188),G188&gt;0),IF(OR(H188="g",H188="ml"),L188/G188*1000,IF(OR(H188="kg",H188="L"),L188/G188,"")),"")</f>
        <v/>
      </c>
      <c r="O188" s="32"/>
      <c r="P188" s="33"/>
      <c r="Q188" s="27"/>
      <c r="R188" s="27"/>
      <c r="S188" s="34"/>
      <c r="T188" s="34"/>
      <c r="U188" s="34"/>
      <c r="V188" s="34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34"/>
    </row>
    <row r="189" customFormat="false" ht="15" hidden="false" customHeight="false" outlineLevel="0" collapsed="false">
      <c r="A189" s="27"/>
      <c r="B189" s="27"/>
      <c r="C189" s="27"/>
      <c r="D189" s="27"/>
      <c r="E189" s="27"/>
      <c r="F189" s="27"/>
      <c r="G189" s="27"/>
      <c r="H189" s="27"/>
      <c r="I189" s="28"/>
      <c r="J189" s="27"/>
      <c r="K189" s="29"/>
      <c r="L189" s="29"/>
      <c r="M189" s="30" t="str">
        <f aca="false">IF(AND(ISNUMBER(K189),ISNUMBER(L189),K189&gt;0),(K189-L189)/K189,"")</f>
        <v/>
      </c>
      <c r="N189" s="31" t="str">
        <f aca="false">IF(AND(ISNUMBER(L189),ISNUMBER(G189),G189&gt;0),IF(OR(H189="g",H189="ml"),L189/G189*1000,IF(OR(H189="kg",H189="L"),L189/G189,"")),"")</f>
        <v/>
      </c>
      <c r="O189" s="32"/>
      <c r="P189" s="33"/>
      <c r="Q189" s="27"/>
      <c r="R189" s="27"/>
      <c r="S189" s="34"/>
      <c r="T189" s="34"/>
      <c r="U189" s="34"/>
      <c r="V189" s="34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34"/>
    </row>
    <row r="190" customFormat="false" ht="15" hidden="false" customHeight="false" outlineLevel="0" collapsed="false">
      <c r="A190" s="27"/>
      <c r="B190" s="27"/>
      <c r="C190" s="27"/>
      <c r="D190" s="27"/>
      <c r="E190" s="27"/>
      <c r="F190" s="27"/>
      <c r="G190" s="27"/>
      <c r="H190" s="27"/>
      <c r="I190" s="28"/>
      <c r="J190" s="27"/>
      <c r="K190" s="29"/>
      <c r="L190" s="29"/>
      <c r="M190" s="30" t="str">
        <f aca="false">IF(AND(ISNUMBER(K190),ISNUMBER(L190),K190&gt;0),(K190-L190)/K190,"")</f>
        <v/>
      </c>
      <c r="N190" s="31" t="str">
        <f aca="false">IF(AND(ISNUMBER(L190),ISNUMBER(G190),G190&gt;0),IF(OR(H190="g",H190="ml"),L190/G190*1000,IF(OR(H190="kg",H190="L"),L190/G190,"")),"")</f>
        <v/>
      </c>
      <c r="O190" s="32"/>
      <c r="P190" s="33"/>
      <c r="Q190" s="27"/>
      <c r="R190" s="27"/>
      <c r="S190" s="34"/>
      <c r="T190" s="34"/>
      <c r="U190" s="34"/>
      <c r="V190" s="34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34"/>
    </row>
    <row r="191" customFormat="false" ht="15" hidden="false" customHeight="false" outlineLevel="0" collapsed="false">
      <c r="A191" s="27"/>
      <c r="B191" s="27"/>
      <c r="C191" s="27"/>
      <c r="D191" s="27"/>
      <c r="E191" s="27"/>
      <c r="F191" s="27"/>
      <c r="G191" s="27"/>
      <c r="H191" s="27"/>
      <c r="I191" s="28"/>
      <c r="J191" s="27"/>
      <c r="K191" s="29"/>
      <c r="L191" s="29"/>
      <c r="M191" s="30" t="str">
        <f aca="false">IF(AND(ISNUMBER(K191),ISNUMBER(L191),K191&gt;0),(K191-L191)/K191,"")</f>
        <v/>
      </c>
      <c r="N191" s="31" t="str">
        <f aca="false">IF(AND(ISNUMBER(L191),ISNUMBER(G191),G191&gt;0),IF(OR(H191="g",H191="ml"),L191/G191*1000,IF(OR(H191="kg",H191="L"),L191/G191,"")),"")</f>
        <v/>
      </c>
      <c r="O191" s="32"/>
      <c r="P191" s="33"/>
      <c r="Q191" s="27"/>
      <c r="R191" s="27"/>
      <c r="S191" s="34"/>
      <c r="T191" s="34"/>
      <c r="U191" s="34"/>
      <c r="V191" s="34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34"/>
    </row>
    <row r="192" customFormat="false" ht="15" hidden="false" customHeight="false" outlineLevel="0" collapsed="false">
      <c r="A192" s="27"/>
      <c r="B192" s="27"/>
      <c r="C192" s="27"/>
      <c r="D192" s="27"/>
      <c r="E192" s="27"/>
      <c r="F192" s="27"/>
      <c r="G192" s="27"/>
      <c r="H192" s="27"/>
      <c r="I192" s="28"/>
      <c r="J192" s="27"/>
      <c r="K192" s="29"/>
      <c r="L192" s="29"/>
      <c r="M192" s="30" t="str">
        <f aca="false">IF(AND(ISNUMBER(K192),ISNUMBER(L192),K192&gt;0),(K192-L192)/K192,"")</f>
        <v/>
      </c>
      <c r="N192" s="31" t="str">
        <f aca="false">IF(AND(ISNUMBER(L192),ISNUMBER(G192),G192&gt;0),IF(OR(H192="g",H192="ml"),L192/G192*1000,IF(OR(H192="kg",H192="L"),L192/G192,"")),"")</f>
        <v/>
      </c>
      <c r="O192" s="32"/>
      <c r="P192" s="33"/>
      <c r="Q192" s="27"/>
      <c r="R192" s="27"/>
      <c r="S192" s="34"/>
      <c r="T192" s="34"/>
      <c r="U192" s="34"/>
      <c r="V192" s="34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34"/>
    </row>
    <row r="193" customFormat="false" ht="15" hidden="false" customHeight="false" outlineLevel="0" collapsed="false">
      <c r="A193" s="27"/>
      <c r="B193" s="27"/>
      <c r="C193" s="27"/>
      <c r="D193" s="27"/>
      <c r="E193" s="27"/>
      <c r="F193" s="27"/>
      <c r="G193" s="27"/>
      <c r="H193" s="27"/>
      <c r="I193" s="28"/>
      <c r="J193" s="27"/>
      <c r="K193" s="29"/>
      <c r="L193" s="29"/>
      <c r="M193" s="30" t="str">
        <f aca="false">IF(AND(ISNUMBER(K193),ISNUMBER(L193),K193&gt;0),(K193-L193)/K193,"")</f>
        <v/>
      </c>
      <c r="N193" s="31" t="str">
        <f aca="false">IF(AND(ISNUMBER(L193),ISNUMBER(G193),G193&gt;0),IF(OR(H193="g",H193="ml"),L193/G193*1000,IF(OR(H193="kg",H193="L"),L193/G193,"")),"")</f>
        <v/>
      </c>
      <c r="O193" s="32"/>
      <c r="P193" s="33"/>
      <c r="Q193" s="27"/>
      <c r="R193" s="27"/>
      <c r="S193" s="34"/>
      <c r="T193" s="34"/>
      <c r="U193" s="34"/>
      <c r="V193" s="34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34"/>
    </row>
    <row r="194" customFormat="false" ht="15" hidden="false" customHeight="false" outlineLevel="0" collapsed="false">
      <c r="A194" s="27"/>
      <c r="B194" s="27"/>
      <c r="C194" s="27"/>
      <c r="D194" s="27"/>
      <c r="E194" s="27"/>
      <c r="F194" s="27"/>
      <c r="G194" s="27"/>
      <c r="H194" s="27"/>
      <c r="I194" s="28"/>
      <c r="J194" s="27"/>
      <c r="K194" s="29"/>
      <c r="L194" s="29"/>
      <c r="M194" s="30" t="str">
        <f aca="false">IF(AND(ISNUMBER(K194),ISNUMBER(L194),K194&gt;0),(K194-L194)/K194,"")</f>
        <v/>
      </c>
      <c r="N194" s="31" t="str">
        <f aca="false">IF(AND(ISNUMBER(L194),ISNUMBER(G194),G194&gt;0),IF(OR(H194="g",H194="ml"),L194/G194*1000,IF(OR(H194="kg",H194="L"),L194/G194,"")),"")</f>
        <v/>
      </c>
      <c r="O194" s="32"/>
      <c r="P194" s="33"/>
      <c r="Q194" s="27"/>
      <c r="R194" s="27"/>
      <c r="S194" s="34"/>
      <c r="T194" s="34"/>
      <c r="U194" s="34"/>
      <c r="V194" s="34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34"/>
    </row>
    <row r="195" customFormat="false" ht="15" hidden="false" customHeight="false" outlineLevel="0" collapsed="false">
      <c r="A195" s="27"/>
      <c r="B195" s="27"/>
      <c r="C195" s="27"/>
      <c r="D195" s="27"/>
      <c r="E195" s="27"/>
      <c r="F195" s="27"/>
      <c r="G195" s="27"/>
      <c r="H195" s="27"/>
      <c r="I195" s="28"/>
      <c r="J195" s="27"/>
      <c r="K195" s="29"/>
      <c r="L195" s="29"/>
      <c r="M195" s="30" t="str">
        <f aca="false">IF(AND(ISNUMBER(K195),ISNUMBER(L195),K195&gt;0),(K195-L195)/K195,"")</f>
        <v/>
      </c>
      <c r="N195" s="31" t="str">
        <f aca="false">IF(AND(ISNUMBER(L195),ISNUMBER(G195),G195&gt;0),IF(OR(H195="g",H195="ml"),L195/G195*1000,IF(OR(H195="kg",H195="L"),L195/G195,"")),"")</f>
        <v/>
      </c>
      <c r="O195" s="32"/>
      <c r="P195" s="33"/>
      <c r="Q195" s="27"/>
      <c r="R195" s="27"/>
      <c r="S195" s="34"/>
      <c r="T195" s="34"/>
      <c r="U195" s="34"/>
      <c r="V195" s="34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34"/>
    </row>
    <row r="196" customFormat="false" ht="15" hidden="false" customHeight="false" outlineLevel="0" collapsed="false">
      <c r="A196" s="27"/>
      <c r="B196" s="27"/>
      <c r="C196" s="27"/>
      <c r="D196" s="27"/>
      <c r="E196" s="27"/>
      <c r="F196" s="27"/>
      <c r="G196" s="27"/>
      <c r="H196" s="27"/>
      <c r="I196" s="28"/>
      <c r="J196" s="27"/>
      <c r="K196" s="29"/>
      <c r="L196" s="29"/>
      <c r="M196" s="30" t="str">
        <f aca="false">IF(AND(ISNUMBER(K196),ISNUMBER(L196),K196&gt;0),(K196-L196)/K196,"")</f>
        <v/>
      </c>
      <c r="N196" s="31" t="str">
        <f aca="false">IF(AND(ISNUMBER(L196),ISNUMBER(G196),G196&gt;0),IF(OR(H196="g",H196="ml"),L196/G196*1000,IF(OR(H196="kg",H196="L"),L196/G196,"")),"")</f>
        <v/>
      </c>
      <c r="O196" s="32"/>
      <c r="P196" s="33"/>
      <c r="Q196" s="27"/>
      <c r="R196" s="27"/>
      <c r="S196" s="34"/>
      <c r="T196" s="34"/>
      <c r="U196" s="34"/>
      <c r="V196" s="34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34"/>
    </row>
    <row r="197" customFormat="false" ht="15" hidden="false" customHeight="false" outlineLevel="0" collapsed="false">
      <c r="A197" s="27"/>
      <c r="B197" s="27"/>
      <c r="C197" s="27"/>
      <c r="D197" s="27"/>
      <c r="E197" s="27"/>
      <c r="F197" s="27"/>
      <c r="G197" s="27"/>
      <c r="H197" s="27"/>
      <c r="I197" s="28"/>
      <c r="J197" s="27"/>
      <c r="K197" s="29"/>
      <c r="L197" s="29"/>
      <c r="M197" s="30" t="str">
        <f aca="false">IF(AND(ISNUMBER(K197),ISNUMBER(L197),K197&gt;0),(K197-L197)/K197,"")</f>
        <v/>
      </c>
      <c r="N197" s="31" t="str">
        <f aca="false">IF(AND(ISNUMBER(L197),ISNUMBER(G197),G197&gt;0),IF(OR(H197="g",H197="ml"),L197/G197*1000,IF(OR(H197="kg",H197="L"),L197/G197,"")),"")</f>
        <v/>
      </c>
      <c r="O197" s="32"/>
      <c r="P197" s="33"/>
      <c r="Q197" s="27"/>
      <c r="R197" s="27"/>
      <c r="S197" s="34"/>
      <c r="T197" s="34"/>
      <c r="U197" s="34"/>
      <c r="V197" s="34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34"/>
    </row>
    <row r="198" customFormat="false" ht="15" hidden="false" customHeight="false" outlineLevel="0" collapsed="false">
      <c r="A198" s="27"/>
      <c r="B198" s="27"/>
      <c r="C198" s="27"/>
      <c r="D198" s="27"/>
      <c r="E198" s="27"/>
      <c r="F198" s="27"/>
      <c r="G198" s="27"/>
      <c r="H198" s="27"/>
      <c r="I198" s="28"/>
      <c r="J198" s="27"/>
      <c r="K198" s="29"/>
      <c r="L198" s="29"/>
      <c r="M198" s="30" t="str">
        <f aca="false">IF(AND(ISNUMBER(K198),ISNUMBER(L198),K198&gt;0),(K198-L198)/K198,"")</f>
        <v/>
      </c>
      <c r="N198" s="31" t="str">
        <f aca="false">IF(AND(ISNUMBER(L198),ISNUMBER(G198),G198&gt;0),IF(OR(H198="g",H198="ml"),L198/G198*1000,IF(OR(H198="kg",H198="L"),L198/G198,"")),"")</f>
        <v/>
      </c>
      <c r="O198" s="32"/>
      <c r="P198" s="33"/>
      <c r="Q198" s="27"/>
      <c r="R198" s="27"/>
      <c r="S198" s="34"/>
      <c r="T198" s="34"/>
      <c r="U198" s="34"/>
      <c r="V198" s="34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34"/>
    </row>
    <row r="199" customFormat="false" ht="15" hidden="false" customHeight="false" outlineLevel="0" collapsed="false">
      <c r="A199" s="27"/>
      <c r="B199" s="27"/>
      <c r="C199" s="27"/>
      <c r="D199" s="27"/>
      <c r="E199" s="27"/>
      <c r="F199" s="27"/>
      <c r="G199" s="27"/>
      <c r="H199" s="27"/>
      <c r="I199" s="28"/>
      <c r="J199" s="27"/>
      <c r="K199" s="29"/>
      <c r="L199" s="29"/>
      <c r="M199" s="30" t="str">
        <f aca="false">IF(AND(ISNUMBER(K199),ISNUMBER(L199),K199&gt;0),(K199-L199)/K199,"")</f>
        <v/>
      </c>
      <c r="N199" s="31" t="str">
        <f aca="false">IF(AND(ISNUMBER(L199),ISNUMBER(G199),G199&gt;0),IF(OR(H199="g",H199="ml"),L199/G199*1000,IF(OR(H199="kg",H199="L"),L199/G199,"")),"")</f>
        <v/>
      </c>
      <c r="O199" s="32"/>
      <c r="P199" s="33"/>
      <c r="Q199" s="27"/>
      <c r="R199" s="27"/>
      <c r="S199" s="34"/>
      <c r="T199" s="34"/>
      <c r="U199" s="34"/>
      <c r="V199" s="34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34"/>
    </row>
    <row r="200" customFormat="false" ht="15" hidden="false" customHeight="false" outlineLevel="0" collapsed="false">
      <c r="A200" s="27"/>
      <c r="B200" s="27"/>
      <c r="C200" s="27"/>
      <c r="D200" s="27"/>
      <c r="E200" s="27"/>
      <c r="F200" s="27"/>
      <c r="G200" s="27"/>
      <c r="H200" s="27"/>
      <c r="I200" s="28"/>
      <c r="J200" s="27"/>
      <c r="K200" s="29"/>
      <c r="L200" s="29"/>
      <c r="M200" s="30" t="str">
        <f aca="false">IF(AND(ISNUMBER(K200),ISNUMBER(L200),K200&gt;0),(K200-L200)/K200,"")</f>
        <v/>
      </c>
      <c r="N200" s="31" t="str">
        <f aca="false">IF(AND(ISNUMBER(L200),ISNUMBER(G200),G200&gt;0),IF(OR(H200="g",H200="ml"),L200/G200*1000,IF(OR(H200="kg",H200="L"),L200/G200,"")),"")</f>
        <v/>
      </c>
      <c r="O200" s="32"/>
      <c r="P200" s="33"/>
      <c r="Q200" s="27"/>
      <c r="R200" s="27"/>
      <c r="S200" s="34"/>
      <c r="T200" s="34"/>
      <c r="U200" s="34"/>
      <c r="V200" s="34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34"/>
    </row>
    <row r="201" customFormat="false" ht="15" hidden="false" customHeight="false" outlineLevel="0" collapsed="false">
      <c r="A201" s="27"/>
      <c r="B201" s="27"/>
      <c r="C201" s="27"/>
      <c r="D201" s="27"/>
      <c r="E201" s="27"/>
      <c r="F201" s="27"/>
      <c r="G201" s="27"/>
      <c r="H201" s="27"/>
      <c r="I201" s="28"/>
      <c r="J201" s="27"/>
      <c r="K201" s="29"/>
      <c r="L201" s="29"/>
      <c r="M201" s="30" t="str">
        <f aca="false">IF(AND(ISNUMBER(K201),ISNUMBER(L201),K201&gt;0),(K201-L201)/K201,"")</f>
        <v/>
      </c>
      <c r="N201" s="31" t="str">
        <f aca="false">IF(AND(ISNUMBER(L201),ISNUMBER(G201),G201&gt;0),IF(OR(H201="g",H201="ml"),L201/G201*1000,IF(OR(H201="kg",H201="L"),L201/G201,"")),"")</f>
        <v/>
      </c>
      <c r="O201" s="32"/>
      <c r="P201" s="33"/>
      <c r="Q201" s="27"/>
      <c r="R201" s="27"/>
      <c r="S201" s="34"/>
      <c r="T201" s="34"/>
      <c r="U201" s="34"/>
      <c r="V201" s="34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34"/>
    </row>
    <row r="202" customFormat="false" ht="15" hidden="false" customHeight="false" outlineLevel="0" collapsed="false">
      <c r="A202" s="27"/>
      <c r="B202" s="27"/>
      <c r="C202" s="27"/>
      <c r="D202" s="27"/>
      <c r="E202" s="27"/>
      <c r="F202" s="27"/>
      <c r="G202" s="27"/>
      <c r="H202" s="27"/>
      <c r="I202" s="28"/>
      <c r="J202" s="27"/>
      <c r="K202" s="29"/>
      <c r="L202" s="29"/>
      <c r="M202" s="30" t="str">
        <f aca="false">IF(AND(ISNUMBER(K202),ISNUMBER(L202),K202&gt;0),(K202-L202)/K202,"")</f>
        <v/>
      </c>
      <c r="N202" s="31" t="str">
        <f aca="false">IF(AND(ISNUMBER(L202),ISNUMBER(G202),G202&gt;0),IF(OR(H202="g",H202="ml"),L202/G202*1000,IF(OR(H202="kg",H202="L"),L202/G202,"")),"")</f>
        <v/>
      </c>
      <c r="O202" s="32"/>
      <c r="P202" s="33"/>
      <c r="Q202" s="27"/>
      <c r="R202" s="27"/>
      <c r="S202" s="34"/>
      <c r="T202" s="34"/>
      <c r="U202" s="34"/>
      <c r="V202" s="34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34"/>
    </row>
    <row r="203" customFormat="false" ht="15" hidden="false" customHeight="false" outlineLevel="0" collapsed="false">
      <c r="A203" s="27"/>
      <c r="B203" s="27"/>
      <c r="C203" s="27"/>
      <c r="D203" s="27"/>
      <c r="E203" s="27"/>
      <c r="F203" s="27"/>
      <c r="G203" s="27"/>
      <c r="H203" s="27"/>
      <c r="I203" s="28"/>
      <c r="J203" s="27"/>
      <c r="K203" s="29"/>
      <c r="L203" s="29"/>
      <c r="M203" s="30" t="str">
        <f aca="false">IF(AND(ISNUMBER(K203),ISNUMBER(L203),K203&gt;0),(K203-L203)/K203,"")</f>
        <v/>
      </c>
      <c r="N203" s="31" t="str">
        <f aca="false">IF(AND(ISNUMBER(L203),ISNUMBER(G203),G203&gt;0),IF(OR(H203="g",H203="ml"),L203/G203*1000,IF(OR(H203="kg",H203="L"),L203/G203,"")),"")</f>
        <v/>
      </c>
      <c r="O203" s="32"/>
      <c r="P203" s="33"/>
      <c r="Q203" s="27"/>
      <c r="R203" s="27"/>
      <c r="S203" s="34"/>
      <c r="T203" s="34"/>
      <c r="U203" s="34"/>
      <c r="V203" s="34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34"/>
    </row>
    <row r="204" customFormat="false" ht="15" hidden="false" customHeight="false" outlineLevel="0" collapsed="false">
      <c r="A204" s="27"/>
      <c r="B204" s="27"/>
      <c r="C204" s="27"/>
      <c r="D204" s="27"/>
      <c r="E204" s="27"/>
      <c r="F204" s="27"/>
      <c r="G204" s="27"/>
      <c r="H204" s="27"/>
      <c r="I204" s="28"/>
      <c r="J204" s="27"/>
      <c r="K204" s="29"/>
      <c r="L204" s="29"/>
      <c r="M204" s="30" t="str">
        <f aca="false">IF(AND(ISNUMBER(K204),ISNUMBER(L204),K204&gt;0),(K204-L204)/K204,"")</f>
        <v/>
      </c>
      <c r="N204" s="31" t="str">
        <f aca="false">IF(AND(ISNUMBER(L204),ISNUMBER(G204),G204&gt;0),IF(OR(H204="g",H204="ml"),L204/G204*1000,IF(OR(H204="kg",H204="L"),L204/G204,"")),"")</f>
        <v/>
      </c>
      <c r="O204" s="32"/>
      <c r="P204" s="33"/>
      <c r="Q204" s="27"/>
      <c r="R204" s="27"/>
      <c r="S204" s="34"/>
      <c r="T204" s="34"/>
      <c r="U204" s="34"/>
      <c r="V204" s="34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34"/>
    </row>
    <row r="205" customFormat="false" ht="15" hidden="false" customHeight="false" outlineLevel="0" collapsed="false">
      <c r="A205" s="27"/>
      <c r="B205" s="27"/>
      <c r="C205" s="27"/>
      <c r="D205" s="27"/>
      <c r="E205" s="27"/>
      <c r="F205" s="27"/>
      <c r="G205" s="27"/>
      <c r="H205" s="27"/>
      <c r="I205" s="28"/>
      <c r="J205" s="27"/>
      <c r="K205" s="29"/>
      <c r="L205" s="29"/>
      <c r="M205" s="30" t="str">
        <f aca="false">IF(AND(ISNUMBER(K205),ISNUMBER(L205),K205&gt;0),(K205-L205)/K205,"")</f>
        <v/>
      </c>
      <c r="N205" s="31" t="str">
        <f aca="false">IF(AND(ISNUMBER(L205),ISNUMBER(G205),G205&gt;0),IF(OR(H205="g",H205="ml"),L205/G205*1000,IF(OR(H205="kg",H205="L"),L205/G205,"")),"")</f>
        <v/>
      </c>
      <c r="O205" s="32"/>
      <c r="P205" s="33"/>
      <c r="Q205" s="27"/>
      <c r="R205" s="27"/>
      <c r="S205" s="34"/>
      <c r="T205" s="34"/>
      <c r="U205" s="34"/>
      <c r="V205" s="34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34"/>
    </row>
    <row r="206" customFormat="false" ht="15" hidden="false" customHeight="false" outlineLevel="0" collapsed="false">
      <c r="A206" s="27"/>
      <c r="B206" s="27"/>
      <c r="C206" s="27"/>
      <c r="D206" s="27"/>
      <c r="E206" s="27"/>
      <c r="F206" s="27"/>
      <c r="G206" s="27"/>
      <c r="H206" s="27"/>
      <c r="I206" s="28"/>
      <c r="J206" s="27"/>
      <c r="K206" s="29"/>
      <c r="L206" s="29"/>
      <c r="M206" s="30" t="str">
        <f aca="false">IF(AND(ISNUMBER(K206),ISNUMBER(L206),K206&gt;0),(K206-L206)/K206,"")</f>
        <v/>
      </c>
      <c r="N206" s="31" t="str">
        <f aca="false">IF(AND(ISNUMBER(L206),ISNUMBER(G206),G206&gt;0),IF(OR(H206="g",H206="ml"),L206/G206*1000,IF(OR(H206="kg",H206="L"),L206/G206,"")),"")</f>
        <v/>
      </c>
      <c r="O206" s="32"/>
      <c r="P206" s="33"/>
      <c r="Q206" s="27"/>
      <c r="R206" s="27"/>
      <c r="S206" s="34"/>
      <c r="T206" s="34"/>
      <c r="U206" s="34"/>
      <c r="V206" s="34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34"/>
    </row>
    <row r="207" customFormat="false" ht="15" hidden="false" customHeight="false" outlineLevel="0" collapsed="false">
      <c r="A207" s="27"/>
      <c r="B207" s="27"/>
      <c r="C207" s="27"/>
      <c r="D207" s="27"/>
      <c r="E207" s="27"/>
      <c r="F207" s="27"/>
      <c r="G207" s="27"/>
      <c r="H207" s="27"/>
      <c r="I207" s="28"/>
      <c r="J207" s="27"/>
      <c r="K207" s="29"/>
      <c r="L207" s="29"/>
      <c r="M207" s="30" t="str">
        <f aca="false">IF(AND(ISNUMBER(K207),ISNUMBER(L207),K207&gt;0),(K207-L207)/K207,"")</f>
        <v/>
      </c>
      <c r="N207" s="31" t="str">
        <f aca="false">IF(AND(ISNUMBER(L207),ISNUMBER(G207),G207&gt;0),IF(OR(H207="g",H207="ml"),L207/G207*1000,IF(OR(H207="kg",H207="L"),L207/G207,"")),"")</f>
        <v/>
      </c>
      <c r="O207" s="32"/>
      <c r="P207" s="33"/>
      <c r="Q207" s="27"/>
      <c r="R207" s="27"/>
      <c r="S207" s="34"/>
      <c r="T207" s="34"/>
      <c r="U207" s="34"/>
      <c r="V207" s="34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34"/>
    </row>
    <row r="208" customFormat="false" ht="15" hidden="false" customHeight="false" outlineLevel="0" collapsed="false">
      <c r="A208" s="27"/>
      <c r="B208" s="27"/>
      <c r="C208" s="27"/>
      <c r="D208" s="27"/>
      <c r="E208" s="27"/>
      <c r="F208" s="27"/>
      <c r="G208" s="27"/>
      <c r="H208" s="27"/>
      <c r="I208" s="28"/>
      <c r="J208" s="27"/>
      <c r="K208" s="29"/>
      <c r="L208" s="29"/>
      <c r="M208" s="30" t="str">
        <f aca="false">IF(AND(ISNUMBER(K208),ISNUMBER(L208),K208&gt;0),(K208-L208)/K208,"")</f>
        <v/>
      </c>
      <c r="N208" s="31" t="str">
        <f aca="false">IF(AND(ISNUMBER(L208),ISNUMBER(G208),G208&gt;0),IF(OR(H208="g",H208="ml"),L208/G208*1000,IF(OR(H208="kg",H208="L"),L208/G208,"")),"")</f>
        <v/>
      </c>
      <c r="O208" s="32"/>
      <c r="P208" s="33"/>
      <c r="Q208" s="27"/>
      <c r="R208" s="27"/>
      <c r="S208" s="34"/>
      <c r="T208" s="34"/>
      <c r="U208" s="34"/>
      <c r="V208" s="34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34"/>
    </row>
    <row r="209" customFormat="false" ht="15" hidden="false" customHeight="false" outlineLevel="0" collapsed="false">
      <c r="A209" s="27"/>
      <c r="B209" s="27"/>
      <c r="C209" s="27"/>
      <c r="D209" s="27"/>
      <c r="E209" s="27"/>
      <c r="F209" s="27"/>
      <c r="G209" s="27"/>
      <c r="H209" s="27"/>
      <c r="I209" s="28"/>
      <c r="J209" s="27"/>
      <c r="K209" s="29"/>
      <c r="L209" s="29"/>
      <c r="M209" s="30" t="str">
        <f aca="false">IF(AND(ISNUMBER(K209),ISNUMBER(L209),K209&gt;0),(K209-L209)/K209,"")</f>
        <v/>
      </c>
      <c r="N209" s="31" t="str">
        <f aca="false">IF(AND(ISNUMBER(L209),ISNUMBER(G209),G209&gt;0),IF(OR(H209="g",H209="ml"),L209/G209*1000,IF(OR(H209="kg",H209="L"),L209/G209,"")),"")</f>
        <v/>
      </c>
      <c r="O209" s="32"/>
      <c r="P209" s="33"/>
      <c r="Q209" s="27"/>
      <c r="R209" s="27"/>
      <c r="S209" s="34"/>
      <c r="T209" s="34"/>
      <c r="U209" s="34"/>
      <c r="V209" s="34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34"/>
    </row>
    <row r="210" customFormat="false" ht="15" hidden="false" customHeight="false" outlineLevel="0" collapsed="false">
      <c r="A210" s="27"/>
      <c r="B210" s="27"/>
      <c r="C210" s="27"/>
      <c r="D210" s="27"/>
      <c r="E210" s="27"/>
      <c r="F210" s="27"/>
      <c r="G210" s="27"/>
      <c r="H210" s="27"/>
      <c r="I210" s="28"/>
      <c r="J210" s="27"/>
      <c r="K210" s="29"/>
      <c r="L210" s="29"/>
      <c r="M210" s="30" t="str">
        <f aca="false">IF(AND(ISNUMBER(K210),ISNUMBER(L210),K210&gt;0),(K210-L210)/K210,"")</f>
        <v/>
      </c>
      <c r="N210" s="31" t="str">
        <f aca="false">IF(AND(ISNUMBER(L210),ISNUMBER(G210),G210&gt;0),IF(OR(H210="g",H210="ml"),L210/G210*1000,IF(OR(H210="kg",H210="L"),L210/G210,"")),"")</f>
        <v/>
      </c>
      <c r="O210" s="32"/>
      <c r="P210" s="33"/>
      <c r="Q210" s="27"/>
      <c r="R210" s="27"/>
      <c r="S210" s="34"/>
      <c r="T210" s="34"/>
      <c r="U210" s="34"/>
      <c r="V210" s="34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34"/>
    </row>
    <row r="211" customFormat="false" ht="15" hidden="false" customHeight="false" outlineLevel="0" collapsed="false">
      <c r="A211" s="27"/>
      <c r="B211" s="27"/>
      <c r="C211" s="27"/>
      <c r="D211" s="27"/>
      <c r="E211" s="27"/>
      <c r="F211" s="27"/>
      <c r="G211" s="27"/>
      <c r="H211" s="27"/>
      <c r="I211" s="28"/>
      <c r="J211" s="27"/>
      <c r="K211" s="29"/>
      <c r="L211" s="29"/>
      <c r="M211" s="30" t="str">
        <f aca="false">IF(AND(ISNUMBER(K211),ISNUMBER(L211),K211&gt;0),(K211-L211)/K211,"")</f>
        <v/>
      </c>
      <c r="N211" s="31" t="str">
        <f aca="false">IF(AND(ISNUMBER(L211),ISNUMBER(G211),G211&gt;0),IF(OR(H211="g",H211="ml"),L211/G211*1000,IF(OR(H211="kg",H211="L"),L211/G211,"")),"")</f>
        <v/>
      </c>
      <c r="O211" s="32"/>
      <c r="P211" s="33"/>
      <c r="Q211" s="27"/>
      <c r="R211" s="27"/>
      <c r="S211" s="34"/>
      <c r="T211" s="34"/>
      <c r="U211" s="34"/>
      <c r="V211" s="34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34"/>
    </row>
    <row r="212" customFormat="false" ht="15" hidden="false" customHeight="false" outlineLevel="0" collapsed="false">
      <c r="A212" s="27"/>
      <c r="B212" s="27"/>
      <c r="C212" s="27"/>
      <c r="D212" s="27"/>
      <c r="E212" s="27"/>
      <c r="F212" s="27"/>
      <c r="G212" s="27"/>
      <c r="H212" s="27"/>
      <c r="I212" s="28"/>
      <c r="J212" s="27"/>
      <c r="K212" s="29"/>
      <c r="L212" s="29"/>
      <c r="M212" s="30" t="str">
        <f aca="false">IF(AND(ISNUMBER(K212),ISNUMBER(L212),K212&gt;0),(K212-L212)/K212,"")</f>
        <v/>
      </c>
      <c r="N212" s="31" t="str">
        <f aca="false">IF(AND(ISNUMBER(L212),ISNUMBER(G212),G212&gt;0),IF(OR(H212="g",H212="ml"),L212/G212*1000,IF(OR(H212="kg",H212="L"),L212/G212,"")),"")</f>
        <v/>
      </c>
      <c r="O212" s="32"/>
      <c r="P212" s="33"/>
      <c r="Q212" s="27"/>
      <c r="R212" s="27"/>
      <c r="S212" s="34"/>
      <c r="T212" s="34"/>
      <c r="U212" s="34"/>
      <c r="V212" s="34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34"/>
    </row>
    <row r="213" customFormat="false" ht="15" hidden="false" customHeight="false" outlineLevel="0" collapsed="false">
      <c r="A213" s="27"/>
      <c r="B213" s="27"/>
      <c r="C213" s="27"/>
      <c r="D213" s="27"/>
      <c r="E213" s="27"/>
      <c r="F213" s="27"/>
      <c r="G213" s="27"/>
      <c r="H213" s="27"/>
      <c r="I213" s="28"/>
      <c r="J213" s="27"/>
      <c r="K213" s="29"/>
      <c r="L213" s="29"/>
      <c r="M213" s="30" t="str">
        <f aca="false">IF(AND(ISNUMBER(K213),ISNUMBER(L213),K213&gt;0),(K213-L213)/K213,"")</f>
        <v/>
      </c>
      <c r="N213" s="31" t="str">
        <f aca="false">IF(AND(ISNUMBER(L213),ISNUMBER(G213),G213&gt;0),IF(OR(H213="g",H213="ml"),L213/G213*1000,IF(OR(H213="kg",H213="L"),L213/G213,"")),"")</f>
        <v/>
      </c>
      <c r="O213" s="32"/>
      <c r="P213" s="33"/>
      <c r="Q213" s="27"/>
      <c r="R213" s="27"/>
      <c r="S213" s="34"/>
      <c r="T213" s="34"/>
      <c r="U213" s="34"/>
      <c r="V213" s="34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34"/>
    </row>
    <row r="214" customFormat="false" ht="15" hidden="false" customHeight="false" outlineLevel="0" collapsed="false">
      <c r="A214" s="27"/>
      <c r="B214" s="27"/>
      <c r="C214" s="27"/>
      <c r="D214" s="27"/>
      <c r="E214" s="27"/>
      <c r="F214" s="27"/>
      <c r="G214" s="27"/>
      <c r="H214" s="27"/>
      <c r="I214" s="28"/>
      <c r="J214" s="27"/>
      <c r="K214" s="29"/>
      <c r="L214" s="29"/>
      <c r="M214" s="30" t="str">
        <f aca="false">IF(AND(ISNUMBER(K214),ISNUMBER(L214),K214&gt;0),(K214-L214)/K214,"")</f>
        <v/>
      </c>
      <c r="N214" s="31" t="str">
        <f aca="false">IF(AND(ISNUMBER(L214),ISNUMBER(G214),G214&gt;0),IF(OR(H214="g",H214="ml"),L214/G214*1000,IF(OR(H214="kg",H214="L"),L214/G214,"")),"")</f>
        <v/>
      </c>
      <c r="O214" s="32"/>
      <c r="P214" s="33"/>
      <c r="Q214" s="27"/>
      <c r="R214" s="27"/>
      <c r="S214" s="34"/>
      <c r="T214" s="34"/>
      <c r="U214" s="34"/>
      <c r="V214" s="34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34"/>
    </row>
    <row r="215" customFormat="false" ht="15" hidden="false" customHeight="false" outlineLevel="0" collapsed="false">
      <c r="A215" s="27"/>
      <c r="B215" s="27"/>
      <c r="C215" s="27"/>
      <c r="D215" s="27"/>
      <c r="E215" s="27"/>
      <c r="F215" s="27"/>
      <c r="G215" s="27"/>
      <c r="H215" s="27"/>
      <c r="I215" s="28"/>
      <c r="J215" s="27"/>
      <c r="K215" s="29"/>
      <c r="L215" s="29"/>
      <c r="M215" s="30" t="str">
        <f aca="false">IF(AND(ISNUMBER(K215),ISNUMBER(L215),K215&gt;0),(K215-L215)/K215,"")</f>
        <v/>
      </c>
      <c r="N215" s="31" t="str">
        <f aca="false">IF(AND(ISNUMBER(L215),ISNUMBER(G215),G215&gt;0),IF(OR(H215="g",H215="ml"),L215/G215*1000,IF(OR(H215="kg",H215="L"),L215/G215,"")),"")</f>
        <v/>
      </c>
      <c r="O215" s="32"/>
      <c r="P215" s="33"/>
      <c r="Q215" s="27"/>
      <c r="R215" s="27"/>
      <c r="S215" s="34"/>
      <c r="T215" s="34"/>
      <c r="U215" s="34"/>
      <c r="V215" s="34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34"/>
    </row>
    <row r="216" customFormat="false" ht="15" hidden="false" customHeight="false" outlineLevel="0" collapsed="false">
      <c r="A216" s="27"/>
      <c r="B216" s="27"/>
      <c r="C216" s="27"/>
      <c r="D216" s="27"/>
      <c r="E216" s="27"/>
      <c r="F216" s="27"/>
      <c r="G216" s="27"/>
      <c r="H216" s="27"/>
      <c r="I216" s="28"/>
      <c r="J216" s="27"/>
      <c r="K216" s="29"/>
      <c r="L216" s="29"/>
      <c r="M216" s="30" t="str">
        <f aca="false">IF(AND(ISNUMBER(K216),ISNUMBER(L216),K216&gt;0),(K216-L216)/K216,"")</f>
        <v/>
      </c>
      <c r="N216" s="31" t="str">
        <f aca="false">IF(AND(ISNUMBER(L216),ISNUMBER(G216),G216&gt;0),IF(OR(H216="g",H216="ml"),L216/G216*1000,IF(OR(H216="kg",H216="L"),L216/G216,"")),"")</f>
        <v/>
      </c>
      <c r="O216" s="32"/>
      <c r="P216" s="33"/>
      <c r="Q216" s="27"/>
      <c r="R216" s="27"/>
      <c r="S216" s="34"/>
      <c r="T216" s="34"/>
      <c r="U216" s="34"/>
      <c r="V216" s="34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34"/>
    </row>
    <row r="217" customFormat="false" ht="15" hidden="false" customHeight="false" outlineLevel="0" collapsed="false">
      <c r="A217" s="27"/>
      <c r="B217" s="27"/>
      <c r="C217" s="27"/>
      <c r="D217" s="27"/>
      <c r="E217" s="27"/>
      <c r="F217" s="27"/>
      <c r="G217" s="27"/>
      <c r="H217" s="27"/>
      <c r="I217" s="28"/>
      <c r="J217" s="27"/>
      <c r="K217" s="29"/>
      <c r="L217" s="29"/>
      <c r="M217" s="30" t="str">
        <f aca="false">IF(AND(ISNUMBER(K217),ISNUMBER(L217),K217&gt;0),(K217-L217)/K217,"")</f>
        <v/>
      </c>
      <c r="N217" s="31" t="str">
        <f aca="false">IF(AND(ISNUMBER(L217),ISNUMBER(G217),G217&gt;0),IF(OR(H217="g",H217="ml"),L217/G217*1000,IF(OR(H217="kg",H217="L"),L217/G217,"")),"")</f>
        <v/>
      </c>
      <c r="O217" s="32"/>
      <c r="P217" s="33"/>
      <c r="Q217" s="27"/>
      <c r="R217" s="27"/>
      <c r="S217" s="34"/>
      <c r="T217" s="34"/>
      <c r="U217" s="34"/>
      <c r="V217" s="34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34"/>
    </row>
    <row r="218" customFormat="false" ht="15" hidden="false" customHeight="false" outlineLevel="0" collapsed="false">
      <c r="A218" s="27"/>
      <c r="B218" s="27"/>
      <c r="C218" s="27"/>
      <c r="D218" s="27"/>
      <c r="E218" s="27"/>
      <c r="F218" s="27"/>
      <c r="G218" s="27"/>
      <c r="H218" s="27"/>
      <c r="I218" s="28"/>
      <c r="J218" s="27"/>
      <c r="K218" s="29"/>
      <c r="L218" s="29"/>
      <c r="M218" s="30" t="str">
        <f aca="false">IF(AND(ISNUMBER(K218),ISNUMBER(L218),K218&gt;0),(K218-L218)/K218,"")</f>
        <v/>
      </c>
      <c r="N218" s="31" t="str">
        <f aca="false">IF(AND(ISNUMBER(L218),ISNUMBER(G218),G218&gt;0),IF(OR(H218="g",H218="ml"),L218/G218*1000,IF(OR(H218="kg",H218="L"),L218/G218,"")),"")</f>
        <v/>
      </c>
      <c r="O218" s="32"/>
      <c r="P218" s="33"/>
      <c r="Q218" s="27"/>
      <c r="R218" s="27"/>
      <c r="S218" s="34"/>
      <c r="T218" s="34"/>
      <c r="U218" s="34"/>
      <c r="V218" s="34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34"/>
    </row>
    <row r="219" customFormat="false" ht="15" hidden="false" customHeight="false" outlineLevel="0" collapsed="false">
      <c r="A219" s="27"/>
      <c r="B219" s="27"/>
      <c r="C219" s="27"/>
      <c r="D219" s="27"/>
      <c r="E219" s="27"/>
      <c r="F219" s="27"/>
      <c r="G219" s="27"/>
      <c r="H219" s="27"/>
      <c r="I219" s="28"/>
      <c r="J219" s="27"/>
      <c r="K219" s="29"/>
      <c r="L219" s="29"/>
      <c r="M219" s="30" t="str">
        <f aca="false">IF(AND(ISNUMBER(K219),ISNUMBER(L219),K219&gt;0),(K219-L219)/K219,"")</f>
        <v/>
      </c>
      <c r="N219" s="31" t="str">
        <f aca="false">IF(AND(ISNUMBER(L219),ISNUMBER(G219),G219&gt;0),IF(OR(H219="g",H219="ml"),L219/G219*1000,IF(OR(H219="kg",H219="L"),L219/G219,"")),"")</f>
        <v/>
      </c>
      <c r="O219" s="32"/>
      <c r="P219" s="33"/>
      <c r="Q219" s="27"/>
      <c r="R219" s="27"/>
      <c r="S219" s="34"/>
      <c r="T219" s="34"/>
      <c r="U219" s="34"/>
      <c r="V219" s="34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34"/>
    </row>
    <row r="220" customFormat="false" ht="15" hidden="false" customHeight="false" outlineLevel="0" collapsed="false">
      <c r="A220" s="27"/>
      <c r="B220" s="27"/>
      <c r="C220" s="27"/>
      <c r="D220" s="27"/>
      <c r="E220" s="27"/>
      <c r="F220" s="27"/>
      <c r="G220" s="27"/>
      <c r="H220" s="27"/>
      <c r="I220" s="28"/>
      <c r="J220" s="27"/>
      <c r="K220" s="29"/>
      <c r="L220" s="29"/>
      <c r="M220" s="30" t="str">
        <f aca="false">IF(AND(ISNUMBER(K220),ISNUMBER(L220),K220&gt;0),(K220-L220)/K220,"")</f>
        <v/>
      </c>
      <c r="N220" s="31" t="str">
        <f aca="false">IF(AND(ISNUMBER(L220),ISNUMBER(G220),G220&gt;0),IF(OR(H220="g",H220="ml"),L220/G220*1000,IF(OR(H220="kg",H220="L"),L220/G220,"")),"")</f>
        <v/>
      </c>
      <c r="O220" s="32"/>
      <c r="P220" s="33"/>
      <c r="Q220" s="27"/>
      <c r="R220" s="27"/>
      <c r="S220" s="34"/>
      <c r="T220" s="34"/>
      <c r="U220" s="34"/>
      <c r="V220" s="34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34"/>
    </row>
    <row r="221" customFormat="false" ht="15" hidden="false" customHeight="false" outlineLevel="0" collapsed="false">
      <c r="A221" s="27"/>
      <c r="B221" s="27"/>
      <c r="C221" s="27"/>
      <c r="D221" s="27"/>
      <c r="E221" s="27"/>
      <c r="F221" s="27"/>
      <c r="G221" s="27"/>
      <c r="H221" s="27"/>
      <c r="I221" s="28"/>
      <c r="J221" s="27"/>
      <c r="K221" s="29"/>
      <c r="L221" s="29"/>
      <c r="M221" s="30" t="str">
        <f aca="false">IF(AND(ISNUMBER(K221),ISNUMBER(L221),K221&gt;0),(K221-L221)/K221,"")</f>
        <v/>
      </c>
      <c r="N221" s="31" t="str">
        <f aca="false">IF(AND(ISNUMBER(L221),ISNUMBER(G221),G221&gt;0),IF(OR(H221="g",H221="ml"),L221/G221*1000,IF(OR(H221="kg",H221="L"),L221/G221,"")),"")</f>
        <v/>
      </c>
      <c r="O221" s="32"/>
      <c r="P221" s="33"/>
      <c r="Q221" s="27"/>
      <c r="R221" s="27"/>
      <c r="S221" s="34"/>
      <c r="T221" s="34"/>
      <c r="U221" s="34"/>
      <c r="V221" s="34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34"/>
    </row>
    <row r="222" customFormat="false" ht="15" hidden="false" customHeight="false" outlineLevel="0" collapsed="false">
      <c r="A222" s="27"/>
      <c r="B222" s="27"/>
      <c r="C222" s="27"/>
      <c r="D222" s="27"/>
      <c r="E222" s="27"/>
      <c r="F222" s="27"/>
      <c r="G222" s="27"/>
      <c r="H222" s="27"/>
      <c r="I222" s="28"/>
      <c r="J222" s="27"/>
      <c r="K222" s="29"/>
      <c r="L222" s="29"/>
      <c r="M222" s="30" t="str">
        <f aca="false">IF(AND(ISNUMBER(K222),ISNUMBER(L222),K222&gt;0),(K222-L222)/K222,"")</f>
        <v/>
      </c>
      <c r="N222" s="31" t="str">
        <f aca="false">IF(AND(ISNUMBER(L222),ISNUMBER(G222),G222&gt;0),IF(OR(H222="g",H222="ml"),L222/G222*1000,IF(OR(H222="kg",H222="L"),L222/G222,"")),"")</f>
        <v/>
      </c>
      <c r="O222" s="32"/>
      <c r="P222" s="33"/>
      <c r="Q222" s="27"/>
      <c r="R222" s="27"/>
      <c r="S222" s="34"/>
      <c r="T222" s="34"/>
      <c r="U222" s="34"/>
      <c r="V222" s="34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34"/>
    </row>
    <row r="223" customFormat="false" ht="15" hidden="false" customHeight="false" outlineLevel="0" collapsed="false">
      <c r="A223" s="27"/>
      <c r="B223" s="27"/>
      <c r="C223" s="27"/>
      <c r="D223" s="27"/>
      <c r="E223" s="27"/>
      <c r="F223" s="27"/>
      <c r="G223" s="27"/>
      <c r="H223" s="27"/>
      <c r="I223" s="28"/>
      <c r="J223" s="27"/>
      <c r="K223" s="29"/>
      <c r="L223" s="29"/>
      <c r="M223" s="30" t="str">
        <f aca="false">IF(AND(ISNUMBER(K223),ISNUMBER(L223),K223&gt;0),(K223-L223)/K223,"")</f>
        <v/>
      </c>
      <c r="N223" s="31" t="str">
        <f aca="false">IF(AND(ISNUMBER(L223),ISNUMBER(G223),G223&gt;0),IF(OR(H223="g",H223="ml"),L223/G223*1000,IF(OR(H223="kg",H223="L"),L223/G223,"")),"")</f>
        <v/>
      </c>
      <c r="O223" s="32"/>
      <c r="P223" s="33"/>
      <c r="Q223" s="27"/>
      <c r="R223" s="27"/>
      <c r="S223" s="34"/>
      <c r="T223" s="34"/>
      <c r="U223" s="34"/>
      <c r="V223" s="34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34"/>
    </row>
    <row r="224" customFormat="false" ht="15" hidden="false" customHeight="false" outlineLevel="0" collapsed="false">
      <c r="A224" s="27"/>
      <c r="B224" s="27"/>
      <c r="C224" s="27"/>
      <c r="D224" s="27"/>
      <c r="E224" s="27"/>
      <c r="F224" s="27"/>
      <c r="G224" s="27"/>
      <c r="H224" s="27"/>
      <c r="I224" s="28"/>
      <c r="J224" s="27"/>
      <c r="K224" s="29"/>
      <c r="L224" s="29"/>
      <c r="M224" s="30" t="str">
        <f aca="false">IF(AND(ISNUMBER(K224),ISNUMBER(L224),K224&gt;0),(K224-L224)/K224,"")</f>
        <v/>
      </c>
      <c r="N224" s="31" t="str">
        <f aca="false">IF(AND(ISNUMBER(L224),ISNUMBER(G224),G224&gt;0),IF(OR(H224="g",H224="ml"),L224/G224*1000,IF(OR(H224="kg",H224="L"),L224/G224,"")),"")</f>
        <v/>
      </c>
      <c r="O224" s="32"/>
      <c r="P224" s="33"/>
      <c r="Q224" s="27"/>
      <c r="R224" s="27"/>
      <c r="S224" s="34"/>
      <c r="T224" s="34"/>
      <c r="U224" s="34"/>
      <c r="V224" s="34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34"/>
    </row>
    <row r="225" customFormat="false" ht="15" hidden="false" customHeight="false" outlineLevel="0" collapsed="false">
      <c r="A225" s="27"/>
      <c r="B225" s="27"/>
      <c r="C225" s="27"/>
      <c r="D225" s="27"/>
      <c r="E225" s="27"/>
      <c r="F225" s="27"/>
      <c r="G225" s="27"/>
      <c r="H225" s="27"/>
      <c r="I225" s="28"/>
      <c r="J225" s="27"/>
      <c r="K225" s="29"/>
      <c r="L225" s="29"/>
      <c r="M225" s="30" t="str">
        <f aca="false">IF(AND(ISNUMBER(K225),ISNUMBER(L225),K225&gt;0),(K225-L225)/K225,"")</f>
        <v/>
      </c>
      <c r="N225" s="31" t="str">
        <f aca="false">IF(AND(ISNUMBER(L225),ISNUMBER(G225),G225&gt;0),IF(OR(H225="g",H225="ml"),L225/G225*1000,IF(OR(H225="kg",H225="L"),L225/G225,"")),"")</f>
        <v/>
      </c>
      <c r="O225" s="32"/>
      <c r="P225" s="33"/>
      <c r="Q225" s="27"/>
      <c r="R225" s="27"/>
      <c r="S225" s="34"/>
      <c r="T225" s="34"/>
      <c r="U225" s="34"/>
      <c r="V225" s="34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34"/>
    </row>
    <row r="226" customFormat="false" ht="15" hidden="false" customHeight="false" outlineLevel="0" collapsed="false">
      <c r="A226" s="27"/>
      <c r="B226" s="27"/>
      <c r="C226" s="27"/>
      <c r="D226" s="27"/>
      <c r="E226" s="27"/>
      <c r="F226" s="27"/>
      <c r="G226" s="27"/>
      <c r="H226" s="27"/>
      <c r="I226" s="28"/>
      <c r="J226" s="27"/>
      <c r="K226" s="29"/>
      <c r="L226" s="29"/>
      <c r="M226" s="30" t="str">
        <f aca="false">IF(AND(ISNUMBER(K226),ISNUMBER(L226),K226&gt;0),(K226-L226)/K226,"")</f>
        <v/>
      </c>
      <c r="N226" s="31" t="str">
        <f aca="false">IF(AND(ISNUMBER(L226),ISNUMBER(G226),G226&gt;0),IF(OR(H226="g",H226="ml"),L226/G226*1000,IF(OR(H226="kg",H226="L"),L226/G226,"")),"")</f>
        <v/>
      </c>
      <c r="O226" s="32"/>
      <c r="P226" s="33"/>
      <c r="Q226" s="27"/>
      <c r="R226" s="27"/>
      <c r="S226" s="34"/>
      <c r="T226" s="34"/>
      <c r="U226" s="34"/>
      <c r="V226" s="34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34"/>
    </row>
    <row r="227" customFormat="false" ht="15" hidden="false" customHeight="false" outlineLevel="0" collapsed="false">
      <c r="A227" s="27"/>
      <c r="B227" s="27"/>
      <c r="C227" s="27"/>
      <c r="D227" s="27"/>
      <c r="E227" s="27"/>
      <c r="F227" s="27"/>
      <c r="G227" s="27"/>
      <c r="H227" s="27"/>
      <c r="I227" s="28"/>
      <c r="J227" s="27"/>
      <c r="K227" s="29"/>
      <c r="L227" s="29"/>
      <c r="M227" s="30" t="str">
        <f aca="false">IF(AND(ISNUMBER(K227),ISNUMBER(L227),K227&gt;0),(K227-L227)/K227,"")</f>
        <v/>
      </c>
      <c r="N227" s="31" t="str">
        <f aca="false">IF(AND(ISNUMBER(L227),ISNUMBER(G227),G227&gt;0),IF(OR(H227="g",H227="ml"),L227/G227*1000,IF(OR(H227="kg",H227="L"),L227/G227,"")),"")</f>
        <v/>
      </c>
      <c r="O227" s="32"/>
      <c r="P227" s="33"/>
      <c r="Q227" s="27"/>
      <c r="R227" s="27"/>
      <c r="S227" s="34"/>
      <c r="T227" s="34"/>
      <c r="U227" s="34"/>
      <c r="V227" s="34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34"/>
    </row>
    <row r="228" customFormat="false" ht="15" hidden="false" customHeight="false" outlineLevel="0" collapsed="false">
      <c r="A228" s="27"/>
      <c r="B228" s="27"/>
      <c r="C228" s="27"/>
      <c r="D228" s="27"/>
      <c r="E228" s="27"/>
      <c r="F228" s="27"/>
      <c r="G228" s="27"/>
      <c r="H228" s="27"/>
      <c r="I228" s="28"/>
      <c r="J228" s="27"/>
      <c r="K228" s="29"/>
      <c r="L228" s="29"/>
      <c r="M228" s="30" t="str">
        <f aca="false">IF(AND(ISNUMBER(K228),ISNUMBER(L228),K228&gt;0),(K228-L228)/K228,"")</f>
        <v/>
      </c>
      <c r="N228" s="31" t="str">
        <f aca="false">IF(AND(ISNUMBER(L228),ISNUMBER(G228),G228&gt;0),IF(OR(H228="g",H228="ml"),L228/G228*1000,IF(OR(H228="kg",H228="L"),L228/G228,"")),"")</f>
        <v/>
      </c>
      <c r="O228" s="32"/>
      <c r="P228" s="33"/>
      <c r="Q228" s="27"/>
      <c r="R228" s="27"/>
      <c r="S228" s="34"/>
      <c r="T228" s="34"/>
      <c r="U228" s="34"/>
      <c r="V228" s="34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34"/>
    </row>
    <row r="229" customFormat="false" ht="15" hidden="false" customHeight="false" outlineLevel="0" collapsed="false">
      <c r="A229" s="27"/>
      <c r="B229" s="27"/>
      <c r="C229" s="27"/>
      <c r="D229" s="27"/>
      <c r="E229" s="27"/>
      <c r="F229" s="27"/>
      <c r="G229" s="27"/>
      <c r="H229" s="27"/>
      <c r="I229" s="28"/>
      <c r="J229" s="27"/>
      <c r="K229" s="29"/>
      <c r="L229" s="29"/>
      <c r="M229" s="30" t="str">
        <f aca="false">IF(AND(ISNUMBER(K229),ISNUMBER(L229),K229&gt;0),(K229-L229)/K229,"")</f>
        <v/>
      </c>
      <c r="N229" s="31" t="str">
        <f aca="false">IF(AND(ISNUMBER(L229),ISNUMBER(G229),G229&gt;0),IF(OR(H229="g",H229="ml"),L229/G229*1000,IF(OR(H229="kg",H229="L"),L229/G229,"")),"")</f>
        <v/>
      </c>
      <c r="O229" s="32"/>
      <c r="P229" s="33"/>
      <c r="Q229" s="27"/>
      <c r="R229" s="27"/>
      <c r="S229" s="34"/>
      <c r="T229" s="34"/>
      <c r="U229" s="34"/>
      <c r="V229" s="34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34"/>
    </row>
    <row r="230" customFormat="false" ht="15" hidden="false" customHeight="false" outlineLevel="0" collapsed="false">
      <c r="A230" s="27"/>
      <c r="B230" s="27"/>
      <c r="C230" s="27"/>
      <c r="D230" s="27"/>
      <c r="E230" s="27"/>
      <c r="F230" s="27"/>
      <c r="G230" s="27"/>
      <c r="H230" s="27"/>
      <c r="I230" s="28"/>
      <c r="J230" s="27"/>
      <c r="K230" s="29"/>
      <c r="L230" s="29"/>
      <c r="M230" s="30" t="str">
        <f aca="false">IF(AND(ISNUMBER(K230),ISNUMBER(L230),K230&gt;0),(K230-L230)/K230,"")</f>
        <v/>
      </c>
      <c r="N230" s="31" t="str">
        <f aca="false">IF(AND(ISNUMBER(L230),ISNUMBER(G230),G230&gt;0),IF(OR(H230="g",H230="ml"),L230/G230*1000,IF(OR(H230="kg",H230="L"),L230/G230,"")),"")</f>
        <v/>
      </c>
      <c r="O230" s="32"/>
      <c r="P230" s="33"/>
      <c r="Q230" s="27"/>
      <c r="R230" s="27"/>
      <c r="S230" s="34"/>
      <c r="T230" s="34"/>
      <c r="U230" s="34"/>
      <c r="V230" s="34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34"/>
    </row>
    <row r="231" customFormat="false" ht="15" hidden="false" customHeight="false" outlineLevel="0" collapsed="false">
      <c r="A231" s="27"/>
      <c r="B231" s="27"/>
      <c r="C231" s="27"/>
      <c r="D231" s="27"/>
      <c r="E231" s="27"/>
      <c r="F231" s="27"/>
      <c r="G231" s="27"/>
      <c r="H231" s="27"/>
      <c r="I231" s="28"/>
      <c r="J231" s="27"/>
      <c r="K231" s="29"/>
      <c r="L231" s="29"/>
      <c r="M231" s="30" t="str">
        <f aca="false">IF(AND(ISNUMBER(K231),ISNUMBER(L231),K231&gt;0),(K231-L231)/K231,"")</f>
        <v/>
      </c>
      <c r="N231" s="31" t="str">
        <f aca="false">IF(AND(ISNUMBER(L231),ISNUMBER(G231),G231&gt;0),IF(OR(H231="g",H231="ml"),L231/G231*1000,IF(OR(H231="kg",H231="L"),L231/G231,"")),"")</f>
        <v/>
      </c>
      <c r="O231" s="32"/>
      <c r="P231" s="33"/>
      <c r="Q231" s="27"/>
      <c r="R231" s="27"/>
      <c r="S231" s="34"/>
      <c r="T231" s="34"/>
      <c r="U231" s="34"/>
      <c r="V231" s="34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34"/>
    </row>
    <row r="232" customFormat="false" ht="15" hidden="false" customHeight="false" outlineLevel="0" collapsed="false">
      <c r="A232" s="27"/>
      <c r="B232" s="27"/>
      <c r="C232" s="27"/>
      <c r="D232" s="27"/>
      <c r="E232" s="27"/>
      <c r="F232" s="27"/>
      <c r="G232" s="27"/>
      <c r="H232" s="27"/>
      <c r="I232" s="28"/>
      <c r="J232" s="27"/>
      <c r="K232" s="29"/>
      <c r="L232" s="29"/>
      <c r="M232" s="30" t="str">
        <f aca="false">IF(AND(ISNUMBER(K232),ISNUMBER(L232),K232&gt;0),(K232-L232)/K232,"")</f>
        <v/>
      </c>
      <c r="N232" s="31" t="str">
        <f aca="false">IF(AND(ISNUMBER(L232),ISNUMBER(G232),G232&gt;0),IF(OR(H232="g",H232="ml"),L232/G232*1000,IF(OR(H232="kg",H232="L"),L232/G232,"")),"")</f>
        <v/>
      </c>
      <c r="O232" s="32"/>
      <c r="P232" s="33"/>
      <c r="Q232" s="27"/>
      <c r="R232" s="27"/>
      <c r="S232" s="34"/>
      <c r="T232" s="34"/>
      <c r="U232" s="34"/>
      <c r="V232" s="34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34"/>
    </row>
    <row r="233" customFormat="false" ht="15" hidden="false" customHeight="false" outlineLevel="0" collapsed="false">
      <c r="A233" s="27"/>
      <c r="B233" s="27"/>
      <c r="C233" s="27"/>
      <c r="D233" s="27"/>
      <c r="E233" s="27"/>
      <c r="F233" s="27"/>
      <c r="G233" s="27"/>
      <c r="H233" s="27"/>
      <c r="I233" s="28"/>
      <c r="J233" s="27"/>
      <c r="K233" s="29"/>
      <c r="L233" s="29"/>
      <c r="M233" s="30" t="str">
        <f aca="false">IF(AND(ISNUMBER(K233),ISNUMBER(L233),K233&gt;0),(K233-L233)/K233,"")</f>
        <v/>
      </c>
      <c r="N233" s="31" t="str">
        <f aca="false">IF(AND(ISNUMBER(L233),ISNUMBER(G233),G233&gt;0),IF(OR(H233="g",H233="ml"),L233/G233*1000,IF(OR(H233="kg",H233="L"),L233/G233,"")),"")</f>
        <v/>
      </c>
      <c r="O233" s="32"/>
      <c r="P233" s="33"/>
      <c r="Q233" s="27"/>
      <c r="R233" s="27"/>
      <c r="S233" s="34"/>
      <c r="T233" s="34"/>
      <c r="U233" s="34"/>
      <c r="V233" s="34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34"/>
    </row>
    <row r="234" customFormat="false" ht="15" hidden="false" customHeight="false" outlineLevel="0" collapsed="false">
      <c r="A234" s="27"/>
      <c r="B234" s="27"/>
      <c r="C234" s="27"/>
      <c r="D234" s="27"/>
      <c r="E234" s="27"/>
      <c r="F234" s="27"/>
      <c r="G234" s="27"/>
      <c r="H234" s="27"/>
      <c r="I234" s="28"/>
      <c r="J234" s="27"/>
      <c r="K234" s="29"/>
      <c r="L234" s="29"/>
      <c r="M234" s="30" t="str">
        <f aca="false">IF(AND(ISNUMBER(K234),ISNUMBER(L234),K234&gt;0),(K234-L234)/K234,"")</f>
        <v/>
      </c>
      <c r="N234" s="31" t="str">
        <f aca="false">IF(AND(ISNUMBER(L234),ISNUMBER(G234),G234&gt;0),IF(OR(H234="g",H234="ml"),L234/G234*1000,IF(OR(H234="kg",H234="L"),L234/G234,"")),"")</f>
        <v/>
      </c>
      <c r="O234" s="32"/>
      <c r="P234" s="33"/>
      <c r="Q234" s="27"/>
      <c r="R234" s="27"/>
      <c r="S234" s="34"/>
      <c r="T234" s="34"/>
      <c r="U234" s="34"/>
      <c r="V234" s="34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34"/>
    </row>
    <row r="235" customFormat="false" ht="15" hidden="false" customHeight="false" outlineLevel="0" collapsed="false">
      <c r="A235" s="27"/>
      <c r="B235" s="27"/>
      <c r="C235" s="27"/>
      <c r="D235" s="27"/>
      <c r="E235" s="27"/>
      <c r="F235" s="27"/>
      <c r="G235" s="27"/>
      <c r="H235" s="27"/>
      <c r="I235" s="28"/>
      <c r="J235" s="27"/>
      <c r="K235" s="29"/>
      <c r="L235" s="29"/>
      <c r="M235" s="30" t="str">
        <f aca="false">IF(AND(ISNUMBER(K235),ISNUMBER(L235),K235&gt;0),(K235-L235)/K235,"")</f>
        <v/>
      </c>
      <c r="N235" s="31" t="str">
        <f aca="false">IF(AND(ISNUMBER(L235),ISNUMBER(G235),G235&gt;0),IF(OR(H235="g",H235="ml"),L235/G235*1000,IF(OR(H235="kg",H235="L"),L235/G235,"")),"")</f>
        <v/>
      </c>
      <c r="O235" s="32"/>
      <c r="P235" s="33"/>
      <c r="Q235" s="27"/>
      <c r="R235" s="27"/>
      <c r="S235" s="34"/>
      <c r="T235" s="34"/>
      <c r="U235" s="34"/>
      <c r="V235" s="34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34"/>
    </row>
    <row r="236" customFormat="false" ht="15" hidden="false" customHeight="false" outlineLevel="0" collapsed="false">
      <c r="A236" s="27"/>
      <c r="B236" s="27"/>
      <c r="C236" s="27"/>
      <c r="D236" s="27"/>
      <c r="E236" s="27"/>
      <c r="F236" s="27"/>
      <c r="G236" s="27"/>
      <c r="H236" s="27"/>
      <c r="I236" s="28"/>
      <c r="J236" s="27"/>
      <c r="K236" s="29"/>
      <c r="L236" s="29"/>
      <c r="M236" s="30" t="str">
        <f aca="false">IF(AND(ISNUMBER(K236),ISNUMBER(L236),K236&gt;0),(K236-L236)/K236,"")</f>
        <v/>
      </c>
      <c r="N236" s="31" t="str">
        <f aca="false">IF(AND(ISNUMBER(L236),ISNUMBER(G236),G236&gt;0),IF(OR(H236="g",H236="ml"),L236/G236*1000,IF(OR(H236="kg",H236="L"),L236/G236,"")),"")</f>
        <v/>
      </c>
      <c r="O236" s="32"/>
      <c r="P236" s="33"/>
      <c r="Q236" s="27"/>
      <c r="R236" s="27"/>
      <c r="S236" s="34"/>
      <c r="T236" s="34"/>
      <c r="U236" s="34"/>
      <c r="V236" s="34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34"/>
    </row>
    <row r="237" customFormat="false" ht="15" hidden="false" customHeight="false" outlineLevel="0" collapsed="false">
      <c r="A237" s="27"/>
      <c r="B237" s="27"/>
      <c r="C237" s="27"/>
      <c r="D237" s="27"/>
      <c r="E237" s="27"/>
      <c r="F237" s="27"/>
      <c r="G237" s="27"/>
      <c r="H237" s="27"/>
      <c r="I237" s="28"/>
      <c r="J237" s="27"/>
      <c r="K237" s="29"/>
      <c r="L237" s="29"/>
      <c r="M237" s="30" t="str">
        <f aca="false">IF(AND(ISNUMBER(K237),ISNUMBER(L237),K237&gt;0),(K237-L237)/K237,"")</f>
        <v/>
      </c>
      <c r="N237" s="31" t="str">
        <f aca="false">IF(AND(ISNUMBER(L237),ISNUMBER(G237),G237&gt;0),IF(OR(H237="g",H237="ml"),L237/G237*1000,IF(OR(H237="kg",H237="L"),L237/G237,"")),"")</f>
        <v/>
      </c>
      <c r="O237" s="32"/>
      <c r="P237" s="33"/>
      <c r="Q237" s="27"/>
      <c r="R237" s="27"/>
      <c r="S237" s="34"/>
      <c r="T237" s="34"/>
      <c r="U237" s="34"/>
      <c r="V237" s="34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34"/>
    </row>
    <row r="238" customFormat="false" ht="15" hidden="false" customHeight="false" outlineLevel="0" collapsed="false">
      <c r="A238" s="27"/>
      <c r="B238" s="27"/>
      <c r="C238" s="27"/>
      <c r="D238" s="27"/>
      <c r="E238" s="27"/>
      <c r="F238" s="27"/>
      <c r="G238" s="27"/>
      <c r="H238" s="27"/>
      <c r="I238" s="28"/>
      <c r="J238" s="27"/>
      <c r="K238" s="29"/>
      <c r="L238" s="29"/>
      <c r="M238" s="30" t="str">
        <f aca="false">IF(AND(ISNUMBER(K238),ISNUMBER(L238),K238&gt;0),(K238-L238)/K238,"")</f>
        <v/>
      </c>
      <c r="N238" s="31" t="str">
        <f aca="false">IF(AND(ISNUMBER(L238),ISNUMBER(G238),G238&gt;0),IF(OR(H238="g",H238="ml"),L238/G238*1000,IF(OR(H238="kg",H238="L"),L238/G238,"")),"")</f>
        <v/>
      </c>
      <c r="O238" s="32"/>
      <c r="P238" s="33"/>
      <c r="Q238" s="27"/>
      <c r="R238" s="27"/>
      <c r="S238" s="34"/>
      <c r="T238" s="34"/>
      <c r="U238" s="34"/>
      <c r="V238" s="34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34"/>
    </row>
    <row r="239" customFormat="false" ht="15" hidden="false" customHeight="false" outlineLevel="0" collapsed="false">
      <c r="A239" s="27"/>
      <c r="B239" s="27"/>
      <c r="C239" s="27"/>
      <c r="D239" s="27"/>
      <c r="E239" s="27"/>
      <c r="F239" s="27"/>
      <c r="G239" s="27"/>
      <c r="H239" s="27"/>
      <c r="I239" s="28"/>
      <c r="J239" s="27"/>
      <c r="K239" s="29"/>
      <c r="L239" s="29"/>
      <c r="M239" s="30" t="str">
        <f aca="false">IF(AND(ISNUMBER(K239),ISNUMBER(L239),K239&gt;0),(K239-L239)/K239,"")</f>
        <v/>
      </c>
      <c r="N239" s="31" t="str">
        <f aca="false">IF(AND(ISNUMBER(L239),ISNUMBER(G239),G239&gt;0),IF(OR(H239="g",H239="ml"),L239/G239*1000,IF(OR(H239="kg",H239="L"),L239/G239,"")),"")</f>
        <v/>
      </c>
      <c r="O239" s="32"/>
      <c r="P239" s="33"/>
      <c r="Q239" s="27"/>
      <c r="R239" s="27"/>
      <c r="S239" s="34"/>
      <c r="T239" s="34"/>
      <c r="U239" s="34"/>
      <c r="V239" s="34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34"/>
    </row>
    <row r="240" customFormat="false" ht="15" hidden="false" customHeight="false" outlineLevel="0" collapsed="false">
      <c r="A240" s="27"/>
      <c r="B240" s="27"/>
      <c r="C240" s="27"/>
      <c r="D240" s="27"/>
      <c r="E240" s="27"/>
      <c r="F240" s="27"/>
      <c r="G240" s="27"/>
      <c r="H240" s="27"/>
      <c r="I240" s="28"/>
      <c r="J240" s="27"/>
      <c r="K240" s="29"/>
      <c r="L240" s="29"/>
      <c r="M240" s="30" t="str">
        <f aca="false">IF(AND(ISNUMBER(K240),ISNUMBER(L240),K240&gt;0),(K240-L240)/K240,"")</f>
        <v/>
      </c>
      <c r="N240" s="31" t="str">
        <f aca="false">IF(AND(ISNUMBER(L240),ISNUMBER(G240),G240&gt;0),IF(OR(H240="g",H240="ml"),L240/G240*1000,IF(OR(H240="kg",H240="L"),L240/G240,"")),"")</f>
        <v/>
      </c>
      <c r="O240" s="32"/>
      <c r="P240" s="33"/>
      <c r="Q240" s="27"/>
      <c r="R240" s="27"/>
      <c r="S240" s="34"/>
      <c r="T240" s="34"/>
      <c r="U240" s="34"/>
      <c r="V240" s="34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34"/>
    </row>
    <row r="241" customFormat="false" ht="15" hidden="false" customHeight="false" outlineLevel="0" collapsed="false">
      <c r="A241" s="27"/>
      <c r="B241" s="27"/>
      <c r="C241" s="27"/>
      <c r="D241" s="27"/>
      <c r="E241" s="27"/>
      <c r="F241" s="27"/>
      <c r="G241" s="27"/>
      <c r="H241" s="27"/>
      <c r="I241" s="28"/>
      <c r="J241" s="27"/>
      <c r="K241" s="29"/>
      <c r="L241" s="29"/>
      <c r="M241" s="30" t="str">
        <f aca="false">IF(AND(ISNUMBER(K241),ISNUMBER(L241),K241&gt;0),(K241-L241)/K241,"")</f>
        <v/>
      </c>
      <c r="N241" s="31" t="str">
        <f aca="false">IF(AND(ISNUMBER(L241),ISNUMBER(G241),G241&gt;0),IF(OR(H241="g",H241="ml"),L241/G241*1000,IF(OR(H241="kg",H241="L"),L241/G241,"")),"")</f>
        <v/>
      </c>
      <c r="O241" s="32"/>
      <c r="P241" s="33"/>
      <c r="Q241" s="27"/>
      <c r="R241" s="27"/>
      <c r="S241" s="34"/>
      <c r="T241" s="34"/>
      <c r="U241" s="34"/>
      <c r="V241" s="34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34"/>
    </row>
    <row r="242" customFormat="false" ht="15" hidden="false" customHeight="false" outlineLevel="0" collapsed="false">
      <c r="A242" s="27"/>
      <c r="B242" s="27"/>
      <c r="C242" s="27"/>
      <c r="D242" s="27"/>
      <c r="E242" s="27"/>
      <c r="F242" s="27"/>
      <c r="G242" s="27"/>
      <c r="H242" s="27"/>
      <c r="I242" s="28"/>
      <c r="J242" s="27"/>
      <c r="K242" s="29"/>
      <c r="L242" s="29"/>
      <c r="M242" s="30" t="str">
        <f aca="false">IF(AND(ISNUMBER(K242),ISNUMBER(L242),K242&gt;0),(K242-L242)/K242,"")</f>
        <v/>
      </c>
      <c r="N242" s="31" t="str">
        <f aca="false">IF(AND(ISNUMBER(L242),ISNUMBER(G242),G242&gt;0),IF(OR(H242="g",H242="ml"),L242/G242*1000,IF(OR(H242="kg",H242="L"),L242/G242,"")),"")</f>
        <v/>
      </c>
      <c r="O242" s="32"/>
      <c r="P242" s="33"/>
      <c r="Q242" s="27"/>
      <c r="R242" s="27"/>
      <c r="S242" s="34"/>
      <c r="T242" s="34"/>
      <c r="U242" s="34"/>
      <c r="V242" s="34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34"/>
    </row>
    <row r="243" customFormat="false" ht="15" hidden="false" customHeight="false" outlineLevel="0" collapsed="false">
      <c r="A243" s="27"/>
      <c r="B243" s="27"/>
      <c r="C243" s="27"/>
      <c r="D243" s="27"/>
      <c r="E243" s="27"/>
      <c r="F243" s="27"/>
      <c r="G243" s="27"/>
      <c r="H243" s="27"/>
      <c r="I243" s="28"/>
      <c r="J243" s="27"/>
      <c r="K243" s="29"/>
      <c r="L243" s="29"/>
      <c r="M243" s="30" t="str">
        <f aca="false">IF(AND(ISNUMBER(K243),ISNUMBER(L243),K243&gt;0),(K243-L243)/K243,"")</f>
        <v/>
      </c>
      <c r="N243" s="31" t="str">
        <f aca="false">IF(AND(ISNUMBER(L243),ISNUMBER(G243),G243&gt;0),IF(OR(H243="g",H243="ml"),L243/G243*1000,IF(OR(H243="kg",H243="L"),L243/G243,"")),"")</f>
        <v/>
      </c>
      <c r="O243" s="32"/>
      <c r="P243" s="33"/>
      <c r="Q243" s="27"/>
      <c r="R243" s="27"/>
      <c r="S243" s="34"/>
      <c r="T243" s="34"/>
      <c r="U243" s="34"/>
      <c r="V243" s="34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34"/>
    </row>
    <row r="244" customFormat="false" ht="15" hidden="false" customHeight="false" outlineLevel="0" collapsed="false">
      <c r="A244" s="27"/>
      <c r="B244" s="27"/>
      <c r="C244" s="27"/>
      <c r="D244" s="27"/>
      <c r="E244" s="27"/>
      <c r="F244" s="27"/>
      <c r="G244" s="27"/>
      <c r="H244" s="27"/>
      <c r="I244" s="28"/>
      <c r="J244" s="27"/>
      <c r="K244" s="29"/>
      <c r="L244" s="29"/>
      <c r="M244" s="30" t="str">
        <f aca="false">IF(AND(ISNUMBER(K244),ISNUMBER(L244),K244&gt;0),(K244-L244)/K244,"")</f>
        <v/>
      </c>
      <c r="N244" s="31" t="str">
        <f aca="false">IF(AND(ISNUMBER(L244),ISNUMBER(G244),G244&gt;0),IF(OR(H244="g",H244="ml"),L244/G244*1000,IF(OR(H244="kg",H244="L"),L244/G244,"")),"")</f>
        <v/>
      </c>
      <c r="O244" s="32"/>
      <c r="P244" s="33"/>
      <c r="Q244" s="27"/>
      <c r="R244" s="27"/>
      <c r="S244" s="34"/>
      <c r="T244" s="34"/>
      <c r="U244" s="34"/>
      <c r="V244" s="34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34"/>
    </row>
    <row r="245" customFormat="false" ht="15" hidden="false" customHeight="false" outlineLevel="0" collapsed="false">
      <c r="A245" s="27"/>
      <c r="B245" s="27"/>
      <c r="C245" s="27"/>
      <c r="D245" s="27"/>
      <c r="E245" s="27"/>
      <c r="F245" s="27"/>
      <c r="G245" s="27"/>
      <c r="H245" s="27"/>
      <c r="I245" s="28"/>
      <c r="J245" s="27"/>
      <c r="K245" s="29"/>
      <c r="L245" s="29"/>
      <c r="M245" s="30" t="str">
        <f aca="false">IF(AND(ISNUMBER(K245),ISNUMBER(L245),K245&gt;0),(K245-L245)/K245,"")</f>
        <v/>
      </c>
      <c r="N245" s="31" t="str">
        <f aca="false">IF(AND(ISNUMBER(L245),ISNUMBER(G245),G245&gt;0),IF(OR(H245="g",H245="ml"),L245/G245*1000,IF(OR(H245="kg",H245="L"),L245/G245,"")),"")</f>
        <v/>
      </c>
      <c r="O245" s="32"/>
      <c r="P245" s="33"/>
      <c r="Q245" s="27"/>
      <c r="R245" s="27"/>
      <c r="S245" s="34"/>
      <c r="T245" s="34"/>
      <c r="U245" s="34"/>
      <c r="V245" s="34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34"/>
    </row>
    <row r="246" customFormat="false" ht="15" hidden="false" customHeight="false" outlineLevel="0" collapsed="false">
      <c r="A246" s="27"/>
      <c r="B246" s="27"/>
      <c r="C246" s="27"/>
      <c r="D246" s="27"/>
      <c r="E246" s="27"/>
      <c r="F246" s="27"/>
      <c r="G246" s="27"/>
      <c r="H246" s="27"/>
      <c r="I246" s="28"/>
      <c r="J246" s="27"/>
      <c r="K246" s="29"/>
      <c r="L246" s="29"/>
      <c r="M246" s="30" t="str">
        <f aca="false">IF(AND(ISNUMBER(K246),ISNUMBER(L246),K246&gt;0),(K246-L246)/K246,"")</f>
        <v/>
      </c>
      <c r="N246" s="31" t="str">
        <f aca="false">IF(AND(ISNUMBER(L246),ISNUMBER(G246),G246&gt;0),IF(OR(H246="g",H246="ml"),L246/G246*1000,IF(OR(H246="kg",H246="L"),L246/G246,"")),"")</f>
        <v/>
      </c>
      <c r="O246" s="32"/>
      <c r="P246" s="33"/>
      <c r="Q246" s="27"/>
      <c r="R246" s="27"/>
      <c r="S246" s="34"/>
      <c r="T246" s="34"/>
      <c r="U246" s="34"/>
      <c r="V246" s="34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34"/>
    </row>
    <row r="247" customFormat="false" ht="15" hidden="false" customHeight="false" outlineLevel="0" collapsed="false">
      <c r="A247" s="27"/>
      <c r="B247" s="27"/>
      <c r="C247" s="27"/>
      <c r="D247" s="27"/>
      <c r="E247" s="27"/>
      <c r="F247" s="27"/>
      <c r="G247" s="27"/>
      <c r="H247" s="27"/>
      <c r="I247" s="28"/>
      <c r="J247" s="27"/>
      <c r="K247" s="29"/>
      <c r="L247" s="29"/>
      <c r="M247" s="30" t="str">
        <f aca="false">IF(AND(ISNUMBER(K247),ISNUMBER(L247),K247&gt;0),(K247-L247)/K247,"")</f>
        <v/>
      </c>
      <c r="N247" s="31" t="str">
        <f aca="false">IF(AND(ISNUMBER(L247),ISNUMBER(G247),G247&gt;0),IF(OR(H247="g",H247="ml"),L247/G247*1000,IF(OR(H247="kg",H247="L"),L247/G247,"")),"")</f>
        <v/>
      </c>
      <c r="O247" s="32"/>
      <c r="P247" s="33"/>
      <c r="Q247" s="27"/>
      <c r="R247" s="27"/>
      <c r="S247" s="34"/>
      <c r="T247" s="34"/>
      <c r="U247" s="34"/>
      <c r="V247" s="34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34"/>
    </row>
    <row r="248" customFormat="false" ht="15" hidden="false" customHeight="false" outlineLevel="0" collapsed="false">
      <c r="A248" s="27"/>
      <c r="B248" s="27"/>
      <c r="C248" s="27"/>
      <c r="D248" s="27"/>
      <c r="E248" s="27"/>
      <c r="F248" s="27"/>
      <c r="G248" s="27"/>
      <c r="H248" s="27"/>
      <c r="I248" s="28"/>
      <c r="J248" s="27"/>
      <c r="K248" s="29"/>
      <c r="L248" s="29"/>
      <c r="M248" s="30" t="str">
        <f aca="false">IF(AND(ISNUMBER(K248),ISNUMBER(L248),K248&gt;0),(K248-L248)/K248,"")</f>
        <v/>
      </c>
      <c r="N248" s="31" t="str">
        <f aca="false">IF(AND(ISNUMBER(L248),ISNUMBER(G248),G248&gt;0),IF(OR(H248="g",H248="ml"),L248/G248*1000,IF(OR(H248="kg",H248="L"),L248/G248,"")),"")</f>
        <v/>
      </c>
      <c r="O248" s="32"/>
      <c r="P248" s="33"/>
      <c r="Q248" s="27"/>
      <c r="R248" s="27"/>
      <c r="S248" s="34"/>
      <c r="T248" s="34"/>
      <c r="U248" s="34"/>
      <c r="V248" s="34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34"/>
    </row>
    <row r="249" customFormat="false" ht="15" hidden="false" customHeight="false" outlineLevel="0" collapsed="false">
      <c r="A249" s="27"/>
      <c r="B249" s="27"/>
      <c r="C249" s="27"/>
      <c r="D249" s="27"/>
      <c r="E249" s="27"/>
      <c r="F249" s="27"/>
      <c r="G249" s="27"/>
      <c r="H249" s="27"/>
      <c r="I249" s="28"/>
      <c r="J249" s="27"/>
      <c r="K249" s="29"/>
      <c r="L249" s="29"/>
      <c r="M249" s="30" t="str">
        <f aca="false">IF(AND(ISNUMBER(K249),ISNUMBER(L249),K249&gt;0),(K249-L249)/K249,"")</f>
        <v/>
      </c>
      <c r="N249" s="31" t="str">
        <f aca="false">IF(AND(ISNUMBER(L249),ISNUMBER(G249),G249&gt;0),IF(OR(H249="g",H249="ml"),L249/G249*1000,IF(OR(H249="kg",H249="L"),L249/G249,"")),"")</f>
        <v/>
      </c>
      <c r="O249" s="32"/>
      <c r="P249" s="33"/>
      <c r="Q249" s="27"/>
      <c r="R249" s="27"/>
      <c r="S249" s="34"/>
      <c r="T249" s="34"/>
      <c r="U249" s="34"/>
      <c r="V249" s="34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34"/>
    </row>
    <row r="250" customFormat="false" ht="15" hidden="false" customHeight="false" outlineLevel="0" collapsed="false">
      <c r="A250" s="27"/>
      <c r="B250" s="27"/>
      <c r="C250" s="27"/>
      <c r="D250" s="27"/>
      <c r="E250" s="27"/>
      <c r="F250" s="27"/>
      <c r="G250" s="27"/>
      <c r="H250" s="27"/>
      <c r="I250" s="28"/>
      <c r="J250" s="27"/>
      <c r="K250" s="29"/>
      <c r="L250" s="29"/>
      <c r="M250" s="30" t="str">
        <f aca="false">IF(AND(ISNUMBER(K250),ISNUMBER(L250),K250&gt;0),(K250-L250)/K250,"")</f>
        <v/>
      </c>
      <c r="N250" s="31" t="str">
        <f aca="false">IF(AND(ISNUMBER(L250),ISNUMBER(G250),G250&gt;0),IF(OR(H250="g",H250="ml"),L250/G250*1000,IF(OR(H250="kg",H250="L"),L250/G250,"")),"")</f>
        <v/>
      </c>
      <c r="O250" s="32"/>
      <c r="P250" s="33"/>
      <c r="Q250" s="27"/>
      <c r="R250" s="27"/>
      <c r="S250" s="34"/>
      <c r="T250" s="34"/>
      <c r="U250" s="34"/>
      <c r="V250" s="34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34"/>
    </row>
    <row r="251" customFormat="false" ht="15" hidden="false" customHeight="false" outlineLevel="0" collapsed="false">
      <c r="A251" s="27"/>
      <c r="B251" s="27"/>
      <c r="C251" s="27"/>
      <c r="D251" s="27"/>
      <c r="E251" s="27"/>
      <c r="F251" s="27"/>
      <c r="G251" s="27"/>
      <c r="H251" s="27"/>
      <c r="I251" s="28"/>
      <c r="J251" s="27"/>
      <c r="K251" s="29"/>
      <c r="L251" s="29"/>
      <c r="M251" s="30" t="str">
        <f aca="false">IF(AND(ISNUMBER(K251),ISNUMBER(L251),K251&gt;0),(K251-L251)/K251,"")</f>
        <v/>
      </c>
      <c r="N251" s="31" t="str">
        <f aca="false">IF(AND(ISNUMBER(L251),ISNUMBER(G251),G251&gt;0),IF(OR(H251="g",H251="ml"),L251/G251*1000,IF(OR(H251="kg",H251="L"),L251/G251,"")),"")</f>
        <v/>
      </c>
      <c r="O251" s="32"/>
      <c r="P251" s="33"/>
      <c r="Q251" s="27"/>
      <c r="R251" s="27"/>
      <c r="S251" s="34"/>
      <c r="T251" s="34"/>
      <c r="U251" s="34"/>
      <c r="V251" s="34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34"/>
    </row>
    <row r="252" customFormat="false" ht="15" hidden="false" customHeight="false" outlineLevel="0" collapsed="false">
      <c r="A252" s="27"/>
      <c r="B252" s="27"/>
      <c r="C252" s="27"/>
      <c r="D252" s="27"/>
      <c r="E252" s="27"/>
      <c r="F252" s="27"/>
      <c r="G252" s="27"/>
      <c r="H252" s="27"/>
      <c r="I252" s="28"/>
      <c r="J252" s="27"/>
      <c r="K252" s="29"/>
      <c r="L252" s="29"/>
      <c r="M252" s="30" t="str">
        <f aca="false">IF(AND(ISNUMBER(K252),ISNUMBER(L252),K252&gt;0),(K252-L252)/K252,"")</f>
        <v/>
      </c>
      <c r="N252" s="31" t="str">
        <f aca="false">IF(AND(ISNUMBER(L252),ISNUMBER(G252),G252&gt;0),IF(OR(H252="g",H252="ml"),L252/G252*1000,IF(OR(H252="kg",H252="L"),L252/G252,"")),"")</f>
        <v/>
      </c>
      <c r="O252" s="32"/>
      <c r="P252" s="33"/>
      <c r="Q252" s="27"/>
      <c r="R252" s="27"/>
      <c r="S252" s="34"/>
      <c r="T252" s="34"/>
      <c r="U252" s="34"/>
      <c r="V252" s="34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34"/>
    </row>
    <row r="253" customFormat="false" ht="15" hidden="false" customHeight="false" outlineLevel="0" collapsed="false">
      <c r="A253" s="27"/>
      <c r="B253" s="27"/>
      <c r="C253" s="27"/>
      <c r="D253" s="27"/>
      <c r="E253" s="27"/>
      <c r="F253" s="27"/>
      <c r="G253" s="27"/>
      <c r="H253" s="27"/>
      <c r="I253" s="28"/>
      <c r="J253" s="27"/>
      <c r="K253" s="29"/>
      <c r="L253" s="29"/>
      <c r="M253" s="30" t="str">
        <f aca="false">IF(AND(ISNUMBER(K253),ISNUMBER(L253),K253&gt;0),(K253-L253)/K253,"")</f>
        <v/>
      </c>
      <c r="N253" s="31" t="str">
        <f aca="false">IF(AND(ISNUMBER(L253),ISNUMBER(G253),G253&gt;0),IF(OR(H253="g",H253="ml"),L253/G253*1000,IF(OR(H253="kg",H253="L"),L253/G253,"")),"")</f>
        <v/>
      </c>
      <c r="O253" s="32"/>
      <c r="P253" s="33"/>
      <c r="Q253" s="27"/>
      <c r="R253" s="27"/>
      <c r="S253" s="34"/>
      <c r="T253" s="34"/>
      <c r="U253" s="34"/>
      <c r="V253" s="34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34"/>
    </row>
    <row r="254" customFormat="false" ht="15" hidden="false" customHeight="false" outlineLevel="0" collapsed="false">
      <c r="A254" s="27"/>
      <c r="B254" s="27"/>
      <c r="C254" s="27"/>
      <c r="D254" s="27"/>
      <c r="E254" s="27"/>
      <c r="F254" s="27"/>
      <c r="G254" s="27"/>
      <c r="H254" s="27"/>
      <c r="I254" s="28"/>
      <c r="J254" s="27"/>
      <c r="K254" s="29"/>
      <c r="L254" s="29"/>
      <c r="M254" s="30" t="str">
        <f aca="false">IF(AND(ISNUMBER(K254),ISNUMBER(L254),K254&gt;0),(K254-L254)/K254,"")</f>
        <v/>
      </c>
      <c r="N254" s="31" t="str">
        <f aca="false">IF(AND(ISNUMBER(L254),ISNUMBER(G254),G254&gt;0),IF(OR(H254="g",H254="ml"),L254/G254*1000,IF(OR(H254="kg",H254="L"),L254/G254,"")),"")</f>
        <v/>
      </c>
      <c r="O254" s="32"/>
      <c r="P254" s="33"/>
      <c r="Q254" s="27"/>
      <c r="R254" s="27"/>
      <c r="S254" s="34"/>
      <c r="T254" s="34"/>
      <c r="U254" s="34"/>
      <c r="V254" s="34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34"/>
    </row>
    <row r="255" customFormat="false" ht="15" hidden="false" customHeight="false" outlineLevel="0" collapsed="false">
      <c r="A255" s="27"/>
      <c r="B255" s="27"/>
      <c r="C255" s="27"/>
      <c r="D255" s="27"/>
      <c r="E255" s="27"/>
      <c r="F255" s="27"/>
      <c r="G255" s="27"/>
      <c r="H255" s="27"/>
      <c r="I255" s="28"/>
      <c r="J255" s="27"/>
      <c r="K255" s="29"/>
      <c r="L255" s="29"/>
      <c r="M255" s="30" t="str">
        <f aca="false">IF(AND(ISNUMBER(K255),ISNUMBER(L255),K255&gt;0),(K255-L255)/K255,"")</f>
        <v/>
      </c>
      <c r="N255" s="31" t="str">
        <f aca="false">IF(AND(ISNUMBER(L255),ISNUMBER(G255),G255&gt;0),IF(OR(H255="g",H255="ml"),L255/G255*1000,IF(OR(H255="kg",H255="L"),L255/G255,"")),"")</f>
        <v/>
      </c>
      <c r="O255" s="32"/>
      <c r="P255" s="33"/>
      <c r="Q255" s="27"/>
      <c r="R255" s="27"/>
      <c r="S255" s="34"/>
      <c r="T255" s="34"/>
      <c r="U255" s="34"/>
      <c r="V255" s="34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34"/>
    </row>
    <row r="256" customFormat="false" ht="15" hidden="false" customHeight="false" outlineLevel="0" collapsed="false">
      <c r="A256" s="27"/>
      <c r="B256" s="27"/>
      <c r="C256" s="27"/>
      <c r="D256" s="27"/>
      <c r="E256" s="27"/>
      <c r="F256" s="27"/>
      <c r="G256" s="27"/>
      <c r="H256" s="27"/>
      <c r="I256" s="28"/>
      <c r="J256" s="27"/>
      <c r="K256" s="29"/>
      <c r="L256" s="29"/>
      <c r="M256" s="30" t="str">
        <f aca="false">IF(AND(ISNUMBER(K256),ISNUMBER(L256),K256&gt;0),(K256-L256)/K256,"")</f>
        <v/>
      </c>
      <c r="N256" s="31" t="str">
        <f aca="false">IF(AND(ISNUMBER(L256),ISNUMBER(G256),G256&gt;0),IF(OR(H256="g",H256="ml"),L256/G256*1000,IF(OR(H256="kg",H256="L"),L256/G256,"")),"")</f>
        <v/>
      </c>
      <c r="O256" s="32"/>
      <c r="P256" s="33"/>
      <c r="Q256" s="27"/>
      <c r="R256" s="27"/>
      <c r="S256" s="34"/>
      <c r="T256" s="34"/>
      <c r="U256" s="34"/>
      <c r="V256" s="34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34"/>
    </row>
    <row r="257" customFormat="false" ht="15" hidden="false" customHeight="false" outlineLevel="0" collapsed="false">
      <c r="A257" s="27"/>
      <c r="B257" s="27"/>
      <c r="C257" s="27"/>
      <c r="D257" s="27"/>
      <c r="E257" s="27"/>
      <c r="F257" s="27"/>
      <c r="G257" s="27"/>
      <c r="H257" s="27"/>
      <c r="I257" s="28"/>
      <c r="J257" s="27"/>
      <c r="K257" s="29"/>
      <c r="L257" s="29"/>
      <c r="M257" s="30" t="str">
        <f aca="false">IF(AND(ISNUMBER(K257),ISNUMBER(L257),K257&gt;0),(K257-L257)/K257,"")</f>
        <v/>
      </c>
      <c r="N257" s="31" t="str">
        <f aca="false">IF(AND(ISNUMBER(L257),ISNUMBER(G257),G257&gt;0),IF(OR(H257="g",H257="ml"),L257/G257*1000,IF(OR(H257="kg",H257="L"),L257/G257,"")),"")</f>
        <v/>
      </c>
      <c r="O257" s="32"/>
      <c r="P257" s="33"/>
      <c r="Q257" s="27"/>
      <c r="R257" s="27"/>
      <c r="S257" s="34"/>
      <c r="T257" s="34"/>
      <c r="U257" s="34"/>
      <c r="V257" s="34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34"/>
    </row>
    <row r="258" customFormat="false" ht="15" hidden="false" customHeight="false" outlineLevel="0" collapsed="false">
      <c r="A258" s="27"/>
      <c r="B258" s="27"/>
      <c r="C258" s="27"/>
      <c r="D258" s="27"/>
      <c r="E258" s="27"/>
      <c r="F258" s="27"/>
      <c r="G258" s="27"/>
      <c r="H258" s="27"/>
      <c r="I258" s="28"/>
      <c r="J258" s="27"/>
      <c r="K258" s="29"/>
      <c r="L258" s="29"/>
      <c r="M258" s="30" t="str">
        <f aca="false">IF(AND(ISNUMBER(K258),ISNUMBER(L258),K258&gt;0),(K258-L258)/K258,"")</f>
        <v/>
      </c>
      <c r="N258" s="31" t="str">
        <f aca="false">IF(AND(ISNUMBER(L258),ISNUMBER(G258),G258&gt;0),IF(OR(H258="g",H258="ml"),L258/G258*1000,IF(OR(H258="kg",H258="L"),L258/G258,"")),"")</f>
        <v/>
      </c>
      <c r="O258" s="32"/>
      <c r="P258" s="33"/>
      <c r="Q258" s="27"/>
      <c r="R258" s="27"/>
      <c r="S258" s="34"/>
      <c r="T258" s="34"/>
      <c r="U258" s="34"/>
      <c r="V258" s="34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34"/>
    </row>
    <row r="259" customFormat="false" ht="15" hidden="false" customHeight="false" outlineLevel="0" collapsed="false">
      <c r="A259" s="27"/>
      <c r="B259" s="27"/>
      <c r="C259" s="27"/>
      <c r="D259" s="27"/>
      <c r="E259" s="27"/>
      <c r="F259" s="27"/>
      <c r="G259" s="27"/>
      <c r="H259" s="27"/>
      <c r="I259" s="28"/>
      <c r="J259" s="27"/>
      <c r="K259" s="29"/>
      <c r="L259" s="29"/>
      <c r="M259" s="30" t="str">
        <f aca="false">IF(AND(ISNUMBER(K259),ISNUMBER(L259),K259&gt;0),(K259-L259)/K259,"")</f>
        <v/>
      </c>
      <c r="N259" s="31" t="str">
        <f aca="false">IF(AND(ISNUMBER(L259),ISNUMBER(G259),G259&gt;0),IF(OR(H259="g",H259="ml"),L259/G259*1000,IF(OR(H259="kg",H259="L"),L259/G259,"")),"")</f>
        <v/>
      </c>
      <c r="O259" s="32"/>
      <c r="P259" s="33"/>
      <c r="Q259" s="27"/>
      <c r="R259" s="27"/>
      <c r="S259" s="34"/>
      <c r="T259" s="34"/>
      <c r="U259" s="34"/>
      <c r="V259" s="34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34"/>
    </row>
    <row r="260" customFormat="false" ht="15" hidden="false" customHeight="false" outlineLevel="0" collapsed="false">
      <c r="A260" s="27"/>
      <c r="B260" s="27"/>
      <c r="C260" s="27"/>
      <c r="D260" s="27"/>
      <c r="E260" s="27"/>
      <c r="F260" s="27"/>
      <c r="G260" s="27"/>
      <c r="H260" s="27"/>
      <c r="I260" s="28"/>
      <c r="J260" s="27"/>
      <c r="K260" s="29"/>
      <c r="L260" s="29"/>
      <c r="M260" s="30" t="str">
        <f aca="false">IF(AND(ISNUMBER(K260),ISNUMBER(L260),K260&gt;0),(K260-L260)/K260,"")</f>
        <v/>
      </c>
      <c r="N260" s="31" t="str">
        <f aca="false">IF(AND(ISNUMBER(L260),ISNUMBER(G260),G260&gt;0),IF(OR(H260="g",H260="ml"),L260/G260*1000,IF(OR(H260="kg",H260="L"),L260/G260,"")),"")</f>
        <v/>
      </c>
      <c r="O260" s="32"/>
      <c r="P260" s="33"/>
      <c r="Q260" s="27"/>
      <c r="R260" s="27"/>
      <c r="S260" s="34"/>
      <c r="T260" s="34"/>
      <c r="U260" s="34"/>
      <c r="V260" s="34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34"/>
    </row>
    <row r="261" customFormat="false" ht="15" hidden="false" customHeight="false" outlineLevel="0" collapsed="false">
      <c r="A261" s="27"/>
      <c r="B261" s="27"/>
      <c r="C261" s="27"/>
      <c r="D261" s="27"/>
      <c r="E261" s="27"/>
      <c r="F261" s="27"/>
      <c r="G261" s="27"/>
      <c r="H261" s="27"/>
      <c r="I261" s="28"/>
      <c r="J261" s="27"/>
      <c r="K261" s="29"/>
      <c r="L261" s="29"/>
      <c r="M261" s="30" t="str">
        <f aca="false">IF(AND(ISNUMBER(K261),ISNUMBER(L261),K261&gt;0),(K261-L261)/K261,"")</f>
        <v/>
      </c>
      <c r="N261" s="31" t="str">
        <f aca="false">IF(AND(ISNUMBER(L261),ISNUMBER(G261),G261&gt;0),IF(OR(H261="g",H261="ml"),L261/G261*1000,IF(OR(H261="kg",H261="L"),L261/G261,"")),"")</f>
        <v/>
      </c>
      <c r="O261" s="32"/>
      <c r="P261" s="33"/>
      <c r="Q261" s="27"/>
      <c r="R261" s="27"/>
      <c r="S261" s="34"/>
      <c r="T261" s="34"/>
      <c r="U261" s="34"/>
      <c r="V261" s="34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34"/>
    </row>
    <row r="262" customFormat="false" ht="15" hidden="false" customHeight="false" outlineLevel="0" collapsed="false">
      <c r="A262" s="27"/>
      <c r="B262" s="27"/>
      <c r="C262" s="27"/>
      <c r="D262" s="27"/>
      <c r="E262" s="27"/>
      <c r="F262" s="27"/>
      <c r="G262" s="27"/>
      <c r="H262" s="27"/>
      <c r="I262" s="28"/>
      <c r="J262" s="27"/>
      <c r="K262" s="29"/>
      <c r="L262" s="29"/>
      <c r="M262" s="30" t="str">
        <f aca="false">IF(AND(ISNUMBER(K262),ISNUMBER(L262),K262&gt;0),(K262-L262)/K262,"")</f>
        <v/>
      </c>
      <c r="N262" s="31" t="str">
        <f aca="false">IF(AND(ISNUMBER(L262),ISNUMBER(G262),G262&gt;0),IF(OR(H262="g",H262="ml"),L262/G262*1000,IF(OR(H262="kg",H262="L"),L262/G262,"")),"")</f>
        <v/>
      </c>
      <c r="O262" s="32"/>
      <c r="P262" s="33"/>
      <c r="Q262" s="27"/>
      <c r="R262" s="27"/>
      <c r="S262" s="34"/>
      <c r="T262" s="34"/>
      <c r="U262" s="34"/>
      <c r="V262" s="34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34"/>
    </row>
    <row r="263" customFormat="false" ht="15" hidden="false" customHeight="false" outlineLevel="0" collapsed="false">
      <c r="A263" s="27"/>
      <c r="B263" s="27"/>
      <c r="C263" s="27"/>
      <c r="D263" s="27"/>
      <c r="E263" s="27"/>
      <c r="F263" s="27"/>
      <c r="G263" s="27"/>
      <c r="H263" s="27"/>
      <c r="I263" s="28"/>
      <c r="J263" s="27"/>
      <c r="K263" s="29"/>
      <c r="L263" s="29"/>
      <c r="M263" s="30" t="str">
        <f aca="false">IF(AND(ISNUMBER(K263),ISNUMBER(L263),K263&gt;0),(K263-L263)/K263,"")</f>
        <v/>
      </c>
      <c r="N263" s="31" t="str">
        <f aca="false">IF(AND(ISNUMBER(L263),ISNUMBER(G263),G263&gt;0),IF(OR(H263="g",H263="ml"),L263/G263*1000,IF(OR(H263="kg",H263="L"),L263/G263,"")),"")</f>
        <v/>
      </c>
      <c r="O263" s="32"/>
      <c r="P263" s="33"/>
      <c r="Q263" s="27"/>
      <c r="R263" s="27"/>
      <c r="S263" s="34"/>
      <c r="T263" s="34"/>
      <c r="U263" s="34"/>
      <c r="V263" s="34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34"/>
    </row>
    <row r="264" customFormat="false" ht="15" hidden="false" customHeight="false" outlineLevel="0" collapsed="false">
      <c r="A264" s="27"/>
      <c r="B264" s="27"/>
      <c r="C264" s="27"/>
      <c r="D264" s="27"/>
      <c r="E264" s="27"/>
      <c r="F264" s="27"/>
      <c r="G264" s="27"/>
      <c r="H264" s="27"/>
      <c r="I264" s="28"/>
      <c r="J264" s="27"/>
      <c r="K264" s="29"/>
      <c r="L264" s="29"/>
      <c r="M264" s="30" t="str">
        <f aca="false">IF(AND(ISNUMBER(K264),ISNUMBER(L264),K264&gt;0),(K264-L264)/K264,"")</f>
        <v/>
      </c>
      <c r="N264" s="31" t="str">
        <f aca="false">IF(AND(ISNUMBER(L264),ISNUMBER(G264),G264&gt;0),IF(OR(H264="g",H264="ml"),L264/G264*1000,IF(OR(H264="kg",H264="L"),L264/G264,"")),"")</f>
        <v/>
      </c>
      <c r="O264" s="32"/>
      <c r="P264" s="33"/>
      <c r="Q264" s="27"/>
      <c r="R264" s="27"/>
      <c r="S264" s="34"/>
      <c r="T264" s="34"/>
      <c r="U264" s="34"/>
      <c r="V264" s="34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34"/>
    </row>
    <row r="265" customFormat="false" ht="15" hidden="false" customHeight="false" outlineLevel="0" collapsed="false">
      <c r="A265" s="27"/>
      <c r="B265" s="27"/>
      <c r="C265" s="27"/>
      <c r="D265" s="27"/>
      <c r="E265" s="27"/>
      <c r="F265" s="27"/>
      <c r="G265" s="27"/>
      <c r="H265" s="27"/>
      <c r="I265" s="28"/>
      <c r="J265" s="27"/>
      <c r="K265" s="29"/>
      <c r="L265" s="29"/>
      <c r="M265" s="30" t="str">
        <f aca="false">IF(AND(ISNUMBER(K265),ISNUMBER(L265),K265&gt;0),(K265-L265)/K265,"")</f>
        <v/>
      </c>
      <c r="N265" s="31" t="str">
        <f aca="false">IF(AND(ISNUMBER(L265),ISNUMBER(G265),G265&gt;0),IF(OR(H265="g",H265="ml"),L265/G265*1000,IF(OR(H265="kg",H265="L"),L265/G265,"")),"")</f>
        <v/>
      </c>
      <c r="O265" s="32"/>
      <c r="P265" s="33"/>
      <c r="Q265" s="27"/>
      <c r="R265" s="27"/>
      <c r="S265" s="34"/>
      <c r="T265" s="34"/>
      <c r="U265" s="34"/>
      <c r="V265" s="34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34"/>
    </row>
    <row r="266" customFormat="false" ht="15" hidden="false" customHeight="false" outlineLevel="0" collapsed="false">
      <c r="A266" s="27"/>
      <c r="B266" s="27"/>
      <c r="C266" s="27"/>
      <c r="D266" s="27"/>
      <c r="E266" s="27"/>
      <c r="F266" s="27"/>
      <c r="G266" s="27"/>
      <c r="H266" s="27"/>
      <c r="I266" s="28"/>
      <c r="J266" s="27"/>
      <c r="K266" s="29"/>
      <c r="L266" s="29"/>
      <c r="M266" s="30" t="str">
        <f aca="false">IF(AND(ISNUMBER(K266),ISNUMBER(L266),K266&gt;0),(K266-L266)/K266,"")</f>
        <v/>
      </c>
      <c r="N266" s="31" t="str">
        <f aca="false">IF(AND(ISNUMBER(L266),ISNUMBER(G266),G266&gt;0),IF(OR(H266="g",H266="ml"),L266/G266*1000,IF(OR(H266="kg",H266="L"),L266/G266,"")),"")</f>
        <v/>
      </c>
      <c r="O266" s="32"/>
      <c r="P266" s="33"/>
      <c r="Q266" s="27"/>
      <c r="R266" s="27"/>
      <c r="S266" s="34"/>
      <c r="T266" s="34"/>
      <c r="U266" s="34"/>
      <c r="V266" s="34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34"/>
    </row>
    <row r="267" customFormat="false" ht="15" hidden="false" customHeight="false" outlineLevel="0" collapsed="false">
      <c r="A267" s="27"/>
      <c r="B267" s="27"/>
      <c r="C267" s="27"/>
      <c r="D267" s="27"/>
      <c r="E267" s="27"/>
      <c r="F267" s="27"/>
      <c r="G267" s="27"/>
      <c r="H267" s="27"/>
      <c r="I267" s="28"/>
      <c r="J267" s="27"/>
      <c r="K267" s="29"/>
      <c r="L267" s="29"/>
      <c r="M267" s="30" t="str">
        <f aca="false">IF(AND(ISNUMBER(K267),ISNUMBER(L267),K267&gt;0),(K267-L267)/K267,"")</f>
        <v/>
      </c>
      <c r="N267" s="31" t="str">
        <f aca="false">IF(AND(ISNUMBER(L267),ISNUMBER(G267),G267&gt;0),IF(OR(H267="g",H267="ml"),L267/G267*1000,IF(OR(H267="kg",H267="L"),L267/G267,"")),"")</f>
        <v/>
      </c>
      <c r="O267" s="32"/>
      <c r="P267" s="33"/>
      <c r="Q267" s="27"/>
      <c r="R267" s="27"/>
      <c r="S267" s="34"/>
      <c r="T267" s="34"/>
      <c r="U267" s="34"/>
      <c r="V267" s="34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34"/>
    </row>
    <row r="268" customFormat="false" ht="15" hidden="false" customHeight="false" outlineLevel="0" collapsed="false">
      <c r="A268" s="27"/>
      <c r="B268" s="27"/>
      <c r="C268" s="27"/>
      <c r="D268" s="27"/>
      <c r="E268" s="27"/>
      <c r="F268" s="27"/>
      <c r="G268" s="27"/>
      <c r="H268" s="27"/>
      <c r="I268" s="28"/>
      <c r="J268" s="27"/>
      <c r="K268" s="29"/>
      <c r="L268" s="29"/>
      <c r="M268" s="30" t="str">
        <f aca="false">IF(AND(ISNUMBER(K268),ISNUMBER(L268),K268&gt;0),(K268-L268)/K268,"")</f>
        <v/>
      </c>
      <c r="N268" s="31" t="str">
        <f aca="false">IF(AND(ISNUMBER(L268),ISNUMBER(G268),G268&gt;0),IF(OR(H268="g",H268="ml"),L268/G268*1000,IF(OR(H268="kg",H268="L"),L268/G268,"")),"")</f>
        <v/>
      </c>
      <c r="O268" s="32"/>
      <c r="P268" s="33"/>
      <c r="Q268" s="27"/>
      <c r="R268" s="27"/>
      <c r="S268" s="34"/>
      <c r="T268" s="34"/>
      <c r="U268" s="34"/>
      <c r="V268" s="34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34"/>
    </row>
    <row r="269" customFormat="false" ht="15" hidden="false" customHeight="false" outlineLevel="0" collapsed="false">
      <c r="A269" s="27"/>
      <c r="B269" s="27"/>
      <c r="C269" s="27"/>
      <c r="D269" s="27"/>
      <c r="E269" s="27"/>
      <c r="F269" s="27"/>
      <c r="G269" s="27"/>
      <c r="H269" s="27"/>
      <c r="I269" s="28"/>
      <c r="J269" s="27"/>
      <c r="K269" s="29"/>
      <c r="L269" s="29"/>
      <c r="M269" s="30" t="str">
        <f aca="false">IF(AND(ISNUMBER(K269),ISNUMBER(L269),K269&gt;0),(K269-L269)/K269,"")</f>
        <v/>
      </c>
      <c r="N269" s="31" t="str">
        <f aca="false">IF(AND(ISNUMBER(L269),ISNUMBER(G269),G269&gt;0),IF(OR(H269="g",H269="ml"),L269/G269*1000,IF(OR(H269="kg",H269="L"),L269/G269,"")),"")</f>
        <v/>
      </c>
      <c r="O269" s="32"/>
      <c r="P269" s="33"/>
      <c r="Q269" s="27"/>
      <c r="R269" s="27"/>
      <c r="S269" s="34"/>
      <c r="T269" s="34"/>
      <c r="U269" s="34"/>
      <c r="V269" s="34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34"/>
    </row>
    <row r="270" customFormat="false" ht="15" hidden="false" customHeight="false" outlineLevel="0" collapsed="false">
      <c r="A270" s="27"/>
      <c r="B270" s="27"/>
      <c r="C270" s="27"/>
      <c r="D270" s="27"/>
      <c r="E270" s="27"/>
      <c r="F270" s="27"/>
      <c r="G270" s="27"/>
      <c r="H270" s="27"/>
      <c r="I270" s="28"/>
      <c r="J270" s="27"/>
      <c r="K270" s="29"/>
      <c r="L270" s="29"/>
      <c r="M270" s="30" t="str">
        <f aca="false">IF(AND(ISNUMBER(K270),ISNUMBER(L270),K270&gt;0),(K270-L270)/K270,"")</f>
        <v/>
      </c>
      <c r="N270" s="31" t="str">
        <f aca="false">IF(AND(ISNUMBER(L270),ISNUMBER(G270),G270&gt;0),IF(OR(H270="g",H270="ml"),L270/G270*1000,IF(OR(H270="kg",H270="L"),L270/G270,"")),"")</f>
        <v/>
      </c>
      <c r="O270" s="32"/>
      <c r="P270" s="33"/>
      <c r="Q270" s="27"/>
      <c r="R270" s="27"/>
      <c r="S270" s="34"/>
      <c r="T270" s="34"/>
      <c r="U270" s="34"/>
      <c r="V270" s="34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34"/>
    </row>
    <row r="271" customFormat="false" ht="15" hidden="false" customHeight="false" outlineLevel="0" collapsed="false">
      <c r="A271" s="27"/>
      <c r="B271" s="27"/>
      <c r="C271" s="27"/>
      <c r="D271" s="27"/>
      <c r="E271" s="27"/>
      <c r="F271" s="27"/>
      <c r="G271" s="27"/>
      <c r="H271" s="27"/>
      <c r="I271" s="28"/>
      <c r="J271" s="27"/>
      <c r="K271" s="29"/>
      <c r="L271" s="29"/>
      <c r="M271" s="30" t="str">
        <f aca="false">IF(AND(ISNUMBER(K271),ISNUMBER(L271),K271&gt;0),(K271-L271)/K271,"")</f>
        <v/>
      </c>
      <c r="N271" s="31" t="str">
        <f aca="false">IF(AND(ISNUMBER(L271),ISNUMBER(G271),G271&gt;0),IF(OR(H271="g",H271="ml"),L271/G271*1000,IF(OR(H271="kg",H271="L"),L271/G271,"")),"")</f>
        <v/>
      </c>
      <c r="O271" s="32"/>
      <c r="P271" s="33"/>
      <c r="Q271" s="27"/>
      <c r="R271" s="27"/>
      <c r="S271" s="34"/>
      <c r="T271" s="34"/>
      <c r="U271" s="34"/>
      <c r="V271" s="34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34"/>
    </row>
    <row r="272" customFormat="false" ht="15" hidden="false" customHeight="false" outlineLevel="0" collapsed="false">
      <c r="A272" s="27"/>
      <c r="B272" s="27"/>
      <c r="C272" s="27"/>
      <c r="D272" s="27"/>
      <c r="E272" s="27"/>
      <c r="F272" s="27"/>
      <c r="G272" s="27"/>
      <c r="H272" s="27"/>
      <c r="I272" s="28"/>
      <c r="J272" s="27"/>
      <c r="K272" s="29"/>
      <c r="L272" s="29"/>
      <c r="M272" s="30" t="str">
        <f aca="false">IF(AND(ISNUMBER(K272),ISNUMBER(L272),K272&gt;0),(K272-L272)/K272,"")</f>
        <v/>
      </c>
      <c r="N272" s="31" t="str">
        <f aca="false">IF(AND(ISNUMBER(L272),ISNUMBER(G272),G272&gt;0),IF(OR(H272="g",H272="ml"),L272/G272*1000,IF(OR(H272="kg",H272="L"),L272/G272,"")),"")</f>
        <v/>
      </c>
      <c r="O272" s="32"/>
      <c r="P272" s="33"/>
      <c r="Q272" s="27"/>
      <c r="R272" s="27"/>
      <c r="S272" s="34"/>
      <c r="T272" s="34"/>
      <c r="U272" s="34"/>
      <c r="V272" s="34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34"/>
    </row>
    <row r="273" customFormat="false" ht="15" hidden="false" customHeight="false" outlineLevel="0" collapsed="false">
      <c r="A273" s="27"/>
      <c r="B273" s="27"/>
      <c r="C273" s="27"/>
      <c r="D273" s="27"/>
      <c r="E273" s="27"/>
      <c r="F273" s="27"/>
      <c r="G273" s="27"/>
      <c r="H273" s="27"/>
      <c r="I273" s="28"/>
      <c r="J273" s="27"/>
      <c r="K273" s="29"/>
      <c r="L273" s="29"/>
      <c r="M273" s="30" t="str">
        <f aca="false">IF(AND(ISNUMBER(K273),ISNUMBER(L273),K273&gt;0),(K273-L273)/K273,"")</f>
        <v/>
      </c>
      <c r="N273" s="31" t="str">
        <f aca="false">IF(AND(ISNUMBER(L273),ISNUMBER(G273),G273&gt;0),IF(OR(H273="g",H273="ml"),L273/G273*1000,IF(OR(H273="kg",H273="L"),L273/G273,"")),"")</f>
        <v/>
      </c>
      <c r="O273" s="32"/>
      <c r="P273" s="33"/>
      <c r="Q273" s="27"/>
      <c r="R273" s="27"/>
      <c r="S273" s="34"/>
      <c r="T273" s="34"/>
      <c r="U273" s="34"/>
      <c r="V273" s="34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34"/>
    </row>
    <row r="274" customFormat="false" ht="15" hidden="false" customHeight="false" outlineLevel="0" collapsed="false">
      <c r="A274" s="27"/>
      <c r="B274" s="27"/>
      <c r="C274" s="27"/>
      <c r="D274" s="27"/>
      <c r="E274" s="27"/>
      <c r="F274" s="27"/>
      <c r="G274" s="27"/>
      <c r="H274" s="27"/>
      <c r="I274" s="28"/>
      <c r="J274" s="27"/>
      <c r="K274" s="29"/>
      <c r="L274" s="29"/>
      <c r="M274" s="30" t="str">
        <f aca="false">IF(AND(ISNUMBER(K274),ISNUMBER(L274),K274&gt;0),(K274-L274)/K274,"")</f>
        <v/>
      </c>
      <c r="N274" s="31" t="str">
        <f aca="false">IF(AND(ISNUMBER(L274),ISNUMBER(G274),G274&gt;0),IF(OR(H274="g",H274="ml"),L274/G274*1000,IF(OR(H274="kg",H274="L"),L274/G274,"")),"")</f>
        <v/>
      </c>
      <c r="O274" s="32"/>
      <c r="P274" s="33"/>
      <c r="Q274" s="27"/>
      <c r="R274" s="27"/>
      <c r="S274" s="34"/>
      <c r="T274" s="34"/>
      <c r="U274" s="34"/>
      <c r="V274" s="34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34"/>
    </row>
    <row r="275" customFormat="false" ht="15" hidden="false" customHeight="false" outlineLevel="0" collapsed="false">
      <c r="A275" s="27"/>
      <c r="B275" s="27"/>
      <c r="C275" s="27"/>
      <c r="D275" s="27"/>
      <c r="E275" s="27"/>
      <c r="F275" s="27"/>
      <c r="G275" s="27"/>
      <c r="H275" s="27"/>
      <c r="I275" s="28"/>
      <c r="J275" s="27"/>
      <c r="K275" s="29"/>
      <c r="L275" s="29"/>
      <c r="M275" s="30" t="str">
        <f aca="false">IF(AND(ISNUMBER(K275),ISNUMBER(L275),K275&gt;0),(K275-L275)/K275,"")</f>
        <v/>
      </c>
      <c r="N275" s="31" t="str">
        <f aca="false">IF(AND(ISNUMBER(L275),ISNUMBER(G275),G275&gt;0),IF(OR(H275="g",H275="ml"),L275/G275*1000,IF(OR(H275="kg",H275="L"),L275/G275,"")),"")</f>
        <v/>
      </c>
      <c r="O275" s="32"/>
      <c r="P275" s="33"/>
      <c r="Q275" s="27"/>
      <c r="R275" s="27"/>
      <c r="S275" s="34"/>
      <c r="T275" s="34"/>
      <c r="U275" s="34"/>
      <c r="V275" s="34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34"/>
    </row>
    <row r="276" customFormat="false" ht="15" hidden="false" customHeight="false" outlineLevel="0" collapsed="false">
      <c r="A276" s="27"/>
      <c r="B276" s="27"/>
      <c r="C276" s="27"/>
      <c r="D276" s="27"/>
      <c r="E276" s="27"/>
      <c r="F276" s="27"/>
      <c r="G276" s="27"/>
      <c r="H276" s="27"/>
      <c r="I276" s="28"/>
      <c r="J276" s="27"/>
      <c r="K276" s="29"/>
      <c r="L276" s="29"/>
      <c r="M276" s="30" t="str">
        <f aca="false">IF(AND(ISNUMBER(K276),ISNUMBER(L276),K276&gt;0),(K276-L276)/K276,"")</f>
        <v/>
      </c>
      <c r="N276" s="31" t="str">
        <f aca="false">IF(AND(ISNUMBER(L276),ISNUMBER(G276),G276&gt;0),IF(OR(H276="g",H276="ml"),L276/G276*1000,IF(OR(H276="kg",H276="L"),L276/G276,"")),"")</f>
        <v/>
      </c>
      <c r="O276" s="32"/>
      <c r="P276" s="33"/>
      <c r="Q276" s="27"/>
      <c r="R276" s="27"/>
      <c r="S276" s="34"/>
      <c r="T276" s="34"/>
      <c r="U276" s="34"/>
      <c r="V276" s="34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34"/>
    </row>
    <row r="277" customFormat="false" ht="15" hidden="false" customHeight="false" outlineLevel="0" collapsed="false">
      <c r="A277" s="27"/>
      <c r="B277" s="27"/>
      <c r="C277" s="27"/>
      <c r="D277" s="27"/>
      <c r="E277" s="27"/>
      <c r="F277" s="27"/>
      <c r="G277" s="27"/>
      <c r="H277" s="27"/>
      <c r="I277" s="28"/>
      <c r="J277" s="27"/>
      <c r="K277" s="29"/>
      <c r="L277" s="29"/>
      <c r="M277" s="30" t="str">
        <f aca="false">IF(AND(ISNUMBER(K277),ISNUMBER(L277),K277&gt;0),(K277-L277)/K277,"")</f>
        <v/>
      </c>
      <c r="N277" s="31" t="str">
        <f aca="false">IF(AND(ISNUMBER(L277),ISNUMBER(G277),G277&gt;0),IF(OR(H277="g",H277="ml"),L277/G277*1000,IF(OR(H277="kg",H277="L"),L277/G277,"")),"")</f>
        <v/>
      </c>
      <c r="O277" s="32"/>
      <c r="P277" s="33"/>
      <c r="Q277" s="27"/>
      <c r="R277" s="27"/>
      <c r="S277" s="34"/>
      <c r="T277" s="34"/>
      <c r="U277" s="34"/>
      <c r="V277" s="34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34"/>
    </row>
    <row r="278" customFormat="false" ht="15" hidden="false" customHeight="false" outlineLevel="0" collapsed="false">
      <c r="A278" s="27"/>
      <c r="B278" s="27"/>
      <c r="C278" s="27"/>
      <c r="D278" s="27"/>
      <c r="E278" s="27"/>
      <c r="F278" s="27"/>
      <c r="G278" s="27"/>
      <c r="H278" s="27"/>
      <c r="I278" s="28"/>
      <c r="J278" s="27"/>
      <c r="K278" s="29"/>
      <c r="L278" s="29"/>
      <c r="M278" s="30" t="str">
        <f aca="false">IF(AND(ISNUMBER(K278),ISNUMBER(L278),K278&gt;0),(K278-L278)/K278,"")</f>
        <v/>
      </c>
      <c r="N278" s="31" t="str">
        <f aca="false">IF(AND(ISNUMBER(L278),ISNUMBER(G278),G278&gt;0),IF(OR(H278="g",H278="ml"),L278/G278*1000,IF(OR(H278="kg",H278="L"),L278/G278,"")),"")</f>
        <v/>
      </c>
      <c r="O278" s="32"/>
      <c r="P278" s="33"/>
      <c r="Q278" s="27"/>
      <c r="R278" s="27"/>
      <c r="S278" s="34"/>
      <c r="T278" s="34"/>
      <c r="U278" s="34"/>
      <c r="V278" s="34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34"/>
    </row>
    <row r="279" customFormat="false" ht="15" hidden="false" customHeight="false" outlineLevel="0" collapsed="false">
      <c r="A279" s="27"/>
      <c r="B279" s="27"/>
      <c r="C279" s="27"/>
      <c r="D279" s="27"/>
      <c r="E279" s="27"/>
      <c r="F279" s="27"/>
      <c r="G279" s="27"/>
      <c r="H279" s="27"/>
      <c r="I279" s="28"/>
      <c r="J279" s="27"/>
      <c r="K279" s="29"/>
      <c r="L279" s="29"/>
      <c r="M279" s="30" t="str">
        <f aca="false">IF(AND(ISNUMBER(K279),ISNUMBER(L279),K279&gt;0),(K279-L279)/K279,"")</f>
        <v/>
      </c>
      <c r="N279" s="31" t="str">
        <f aca="false">IF(AND(ISNUMBER(L279),ISNUMBER(G279),G279&gt;0),IF(OR(H279="g",H279="ml"),L279/G279*1000,IF(OR(H279="kg",H279="L"),L279/G279,"")),"")</f>
        <v/>
      </c>
      <c r="O279" s="32"/>
      <c r="P279" s="33"/>
      <c r="Q279" s="27"/>
      <c r="R279" s="27"/>
      <c r="S279" s="34"/>
      <c r="T279" s="34"/>
      <c r="U279" s="34"/>
      <c r="V279" s="34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34"/>
    </row>
    <row r="280" customFormat="false" ht="15" hidden="false" customHeight="false" outlineLevel="0" collapsed="false">
      <c r="A280" s="27"/>
      <c r="B280" s="27"/>
      <c r="C280" s="27"/>
      <c r="D280" s="27"/>
      <c r="E280" s="27"/>
      <c r="F280" s="27"/>
      <c r="G280" s="27"/>
      <c r="H280" s="27"/>
      <c r="I280" s="28"/>
      <c r="J280" s="27"/>
      <c r="K280" s="29"/>
      <c r="L280" s="29"/>
      <c r="M280" s="30" t="str">
        <f aca="false">IF(AND(ISNUMBER(K280),ISNUMBER(L280),K280&gt;0),(K280-L280)/K280,"")</f>
        <v/>
      </c>
      <c r="N280" s="31" t="str">
        <f aca="false">IF(AND(ISNUMBER(L280),ISNUMBER(G280),G280&gt;0),IF(OR(H280="g",H280="ml"),L280/G280*1000,IF(OR(H280="kg",H280="L"),L280/G280,"")),"")</f>
        <v/>
      </c>
      <c r="O280" s="32"/>
      <c r="P280" s="33"/>
      <c r="Q280" s="27"/>
      <c r="R280" s="27"/>
      <c r="S280" s="34"/>
      <c r="T280" s="34"/>
      <c r="U280" s="34"/>
      <c r="V280" s="34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34"/>
    </row>
    <row r="281" customFormat="false" ht="15" hidden="false" customHeight="false" outlineLevel="0" collapsed="false">
      <c r="A281" s="27"/>
      <c r="B281" s="27"/>
      <c r="C281" s="27"/>
      <c r="D281" s="27"/>
      <c r="E281" s="27"/>
      <c r="F281" s="27"/>
      <c r="G281" s="27"/>
      <c r="H281" s="27"/>
      <c r="I281" s="28"/>
      <c r="J281" s="27"/>
      <c r="K281" s="29"/>
      <c r="L281" s="29"/>
      <c r="M281" s="30" t="str">
        <f aca="false">IF(AND(ISNUMBER(K281),ISNUMBER(L281),K281&gt;0),(K281-L281)/K281,"")</f>
        <v/>
      </c>
      <c r="N281" s="31" t="str">
        <f aca="false">IF(AND(ISNUMBER(L281),ISNUMBER(G281),G281&gt;0),IF(OR(H281="g",H281="ml"),L281/G281*1000,IF(OR(H281="kg",H281="L"),L281/G281,"")),"")</f>
        <v/>
      </c>
      <c r="O281" s="32"/>
      <c r="P281" s="33"/>
      <c r="Q281" s="27"/>
      <c r="R281" s="27"/>
      <c r="S281" s="34"/>
      <c r="T281" s="34"/>
      <c r="U281" s="34"/>
      <c r="V281" s="34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34"/>
    </row>
    <row r="282" customFormat="false" ht="15" hidden="false" customHeight="false" outlineLevel="0" collapsed="false">
      <c r="A282" s="27"/>
      <c r="B282" s="27"/>
      <c r="C282" s="27"/>
      <c r="D282" s="27"/>
      <c r="E282" s="27"/>
      <c r="F282" s="27"/>
      <c r="G282" s="27"/>
      <c r="H282" s="27"/>
      <c r="I282" s="28"/>
      <c r="J282" s="27"/>
      <c r="K282" s="29"/>
      <c r="L282" s="29"/>
      <c r="M282" s="30" t="str">
        <f aca="false">IF(AND(ISNUMBER(K282),ISNUMBER(L282),K282&gt;0),(K282-L282)/K282,"")</f>
        <v/>
      </c>
      <c r="N282" s="31" t="str">
        <f aca="false">IF(AND(ISNUMBER(L282),ISNUMBER(G282),G282&gt;0),IF(OR(H282="g",H282="ml"),L282/G282*1000,IF(OR(H282="kg",H282="L"),L282/G282,"")),"")</f>
        <v/>
      </c>
      <c r="O282" s="32"/>
      <c r="P282" s="33"/>
      <c r="Q282" s="27"/>
      <c r="R282" s="27"/>
      <c r="S282" s="34"/>
      <c r="T282" s="34"/>
      <c r="U282" s="34"/>
      <c r="V282" s="34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34"/>
    </row>
    <row r="283" customFormat="false" ht="15" hidden="false" customHeight="false" outlineLevel="0" collapsed="false">
      <c r="A283" s="27"/>
      <c r="B283" s="27"/>
      <c r="C283" s="27"/>
      <c r="D283" s="27"/>
      <c r="E283" s="27"/>
      <c r="F283" s="27"/>
      <c r="G283" s="27"/>
      <c r="H283" s="27"/>
      <c r="I283" s="28"/>
      <c r="J283" s="27"/>
      <c r="K283" s="29"/>
      <c r="L283" s="29"/>
      <c r="M283" s="30" t="str">
        <f aca="false">IF(AND(ISNUMBER(K283),ISNUMBER(L283),K283&gt;0),(K283-L283)/K283,"")</f>
        <v/>
      </c>
      <c r="N283" s="31" t="str">
        <f aca="false">IF(AND(ISNUMBER(L283),ISNUMBER(G283),G283&gt;0),IF(OR(H283="g",H283="ml"),L283/G283*1000,IF(OR(H283="kg",H283="L"),L283/G283,"")),"")</f>
        <v/>
      </c>
      <c r="O283" s="32"/>
      <c r="P283" s="33"/>
      <c r="Q283" s="27"/>
      <c r="R283" s="27"/>
      <c r="S283" s="34"/>
      <c r="T283" s="34"/>
      <c r="U283" s="34"/>
      <c r="V283" s="34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34"/>
    </row>
    <row r="284" customFormat="false" ht="15" hidden="false" customHeight="false" outlineLevel="0" collapsed="false">
      <c r="A284" s="27"/>
      <c r="B284" s="27"/>
      <c r="C284" s="27"/>
      <c r="D284" s="27"/>
      <c r="E284" s="27"/>
      <c r="F284" s="27"/>
      <c r="G284" s="27"/>
      <c r="H284" s="27"/>
      <c r="I284" s="28"/>
      <c r="J284" s="27"/>
      <c r="K284" s="29"/>
      <c r="L284" s="29"/>
      <c r="M284" s="30" t="str">
        <f aca="false">IF(AND(ISNUMBER(K284),ISNUMBER(L284),K284&gt;0),(K284-L284)/K284,"")</f>
        <v/>
      </c>
      <c r="N284" s="31" t="str">
        <f aca="false">IF(AND(ISNUMBER(L284),ISNUMBER(G284),G284&gt;0),IF(OR(H284="g",H284="ml"),L284/G284*1000,IF(OR(H284="kg",H284="L"),L284/G284,"")),"")</f>
        <v/>
      </c>
      <c r="O284" s="32"/>
      <c r="P284" s="33"/>
      <c r="Q284" s="27"/>
      <c r="R284" s="27"/>
      <c r="S284" s="34"/>
      <c r="T284" s="34"/>
      <c r="U284" s="34"/>
      <c r="V284" s="34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34"/>
    </row>
    <row r="285" customFormat="false" ht="15" hidden="false" customHeight="false" outlineLevel="0" collapsed="false">
      <c r="A285" s="27"/>
      <c r="B285" s="27"/>
      <c r="C285" s="27"/>
      <c r="D285" s="27"/>
      <c r="E285" s="27"/>
      <c r="F285" s="27"/>
      <c r="G285" s="27"/>
      <c r="H285" s="27"/>
      <c r="I285" s="28"/>
      <c r="J285" s="27"/>
      <c r="K285" s="29"/>
      <c r="L285" s="29"/>
      <c r="M285" s="30" t="str">
        <f aca="false">IF(AND(ISNUMBER(K285),ISNUMBER(L285),K285&gt;0),(K285-L285)/K285,"")</f>
        <v/>
      </c>
      <c r="N285" s="31" t="str">
        <f aca="false">IF(AND(ISNUMBER(L285),ISNUMBER(G285),G285&gt;0),IF(OR(H285="g",H285="ml"),L285/G285*1000,IF(OR(H285="kg",H285="L"),L285/G285,"")),"")</f>
        <v/>
      </c>
      <c r="O285" s="32"/>
      <c r="P285" s="33"/>
      <c r="Q285" s="27"/>
      <c r="R285" s="27"/>
      <c r="S285" s="34"/>
      <c r="T285" s="34"/>
      <c r="U285" s="34"/>
      <c r="V285" s="34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34"/>
    </row>
    <row r="286" customFormat="false" ht="15" hidden="false" customHeight="false" outlineLevel="0" collapsed="false">
      <c r="A286" s="27"/>
      <c r="B286" s="27"/>
      <c r="C286" s="27"/>
      <c r="D286" s="27"/>
      <c r="E286" s="27"/>
      <c r="F286" s="27"/>
      <c r="G286" s="27"/>
      <c r="H286" s="27"/>
      <c r="I286" s="28"/>
      <c r="J286" s="27"/>
      <c r="K286" s="29"/>
      <c r="L286" s="29"/>
      <c r="M286" s="30" t="str">
        <f aca="false">IF(AND(ISNUMBER(K286),ISNUMBER(L286),K286&gt;0),(K286-L286)/K286,"")</f>
        <v/>
      </c>
      <c r="N286" s="31" t="str">
        <f aca="false">IF(AND(ISNUMBER(L286),ISNUMBER(G286),G286&gt;0),IF(OR(H286="g",H286="ml"),L286/G286*1000,IF(OR(H286="kg",H286="L"),L286/G286,"")),"")</f>
        <v/>
      </c>
      <c r="O286" s="32"/>
      <c r="P286" s="33"/>
      <c r="Q286" s="27"/>
      <c r="R286" s="27"/>
      <c r="S286" s="34"/>
      <c r="T286" s="34"/>
      <c r="U286" s="34"/>
      <c r="V286" s="34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34"/>
    </row>
    <row r="287" customFormat="false" ht="15" hidden="false" customHeight="false" outlineLevel="0" collapsed="false">
      <c r="A287" s="27"/>
      <c r="B287" s="27"/>
      <c r="C287" s="27"/>
      <c r="D287" s="27"/>
      <c r="E287" s="27"/>
      <c r="F287" s="27"/>
      <c r="G287" s="27"/>
      <c r="H287" s="27"/>
      <c r="I287" s="28"/>
      <c r="J287" s="27"/>
      <c r="K287" s="29"/>
      <c r="L287" s="29"/>
      <c r="M287" s="30" t="str">
        <f aca="false">IF(AND(ISNUMBER(K287),ISNUMBER(L287),K287&gt;0),(K287-L287)/K287,"")</f>
        <v/>
      </c>
      <c r="N287" s="31" t="str">
        <f aca="false">IF(AND(ISNUMBER(L287),ISNUMBER(G287),G287&gt;0),IF(OR(H287="g",H287="ml"),L287/G287*1000,IF(OR(H287="kg",H287="L"),L287/G287,"")),"")</f>
        <v/>
      </c>
      <c r="O287" s="32"/>
      <c r="P287" s="33"/>
      <c r="Q287" s="27"/>
      <c r="R287" s="27"/>
      <c r="S287" s="34"/>
      <c r="T287" s="34"/>
      <c r="U287" s="34"/>
      <c r="V287" s="34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34"/>
    </row>
    <row r="288" customFormat="false" ht="15" hidden="false" customHeight="false" outlineLevel="0" collapsed="false">
      <c r="A288" s="27"/>
      <c r="B288" s="27"/>
      <c r="C288" s="27"/>
      <c r="D288" s="27"/>
      <c r="E288" s="27"/>
      <c r="F288" s="27"/>
      <c r="G288" s="27"/>
      <c r="H288" s="27"/>
      <c r="I288" s="28"/>
      <c r="J288" s="27"/>
      <c r="K288" s="29"/>
      <c r="L288" s="29"/>
      <c r="M288" s="30" t="str">
        <f aca="false">IF(AND(ISNUMBER(K288),ISNUMBER(L288),K288&gt;0),(K288-L288)/K288,"")</f>
        <v/>
      </c>
      <c r="N288" s="31" t="str">
        <f aca="false">IF(AND(ISNUMBER(L288),ISNUMBER(G288),G288&gt;0),IF(OR(H288="g",H288="ml"),L288/G288*1000,IF(OR(H288="kg",H288="L"),L288/G288,"")),"")</f>
        <v/>
      </c>
      <c r="O288" s="32"/>
      <c r="P288" s="33"/>
      <c r="Q288" s="27"/>
      <c r="R288" s="27"/>
      <c r="S288" s="34"/>
      <c r="T288" s="34"/>
      <c r="U288" s="34"/>
      <c r="V288" s="34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34"/>
    </row>
    <row r="289" customFormat="false" ht="15" hidden="false" customHeight="false" outlineLevel="0" collapsed="false">
      <c r="A289" s="27"/>
      <c r="B289" s="27"/>
      <c r="C289" s="27"/>
      <c r="D289" s="27"/>
      <c r="E289" s="27"/>
      <c r="F289" s="27"/>
      <c r="G289" s="27"/>
      <c r="H289" s="27"/>
      <c r="I289" s="28"/>
      <c r="J289" s="27"/>
      <c r="K289" s="29"/>
      <c r="L289" s="29"/>
      <c r="M289" s="30" t="str">
        <f aca="false">IF(AND(ISNUMBER(K289),ISNUMBER(L289),K289&gt;0),(K289-L289)/K289,"")</f>
        <v/>
      </c>
      <c r="N289" s="31" t="str">
        <f aca="false">IF(AND(ISNUMBER(L289),ISNUMBER(G289),G289&gt;0),IF(OR(H289="g",H289="ml"),L289/G289*1000,IF(OR(H289="kg",H289="L"),L289/G289,"")),"")</f>
        <v/>
      </c>
      <c r="O289" s="32"/>
      <c r="P289" s="33"/>
      <c r="Q289" s="27"/>
      <c r="R289" s="27"/>
      <c r="S289" s="34"/>
      <c r="T289" s="34"/>
      <c r="U289" s="34"/>
      <c r="V289" s="34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34"/>
    </row>
    <row r="290" customFormat="false" ht="15" hidden="false" customHeight="false" outlineLevel="0" collapsed="false">
      <c r="A290" s="27"/>
      <c r="B290" s="27"/>
      <c r="C290" s="27"/>
      <c r="D290" s="27"/>
      <c r="E290" s="27"/>
      <c r="F290" s="27"/>
      <c r="G290" s="27"/>
      <c r="H290" s="27"/>
      <c r="I290" s="28"/>
      <c r="J290" s="27"/>
      <c r="K290" s="29"/>
      <c r="L290" s="29"/>
      <c r="M290" s="30" t="str">
        <f aca="false">IF(AND(ISNUMBER(K290),ISNUMBER(L290),K290&gt;0),(K290-L290)/K290,"")</f>
        <v/>
      </c>
      <c r="N290" s="31" t="str">
        <f aca="false">IF(AND(ISNUMBER(L290),ISNUMBER(G290),G290&gt;0),IF(OR(H290="g",H290="ml"),L290/G290*1000,IF(OR(H290="kg",H290="L"),L290/G290,"")),"")</f>
        <v/>
      </c>
      <c r="O290" s="32"/>
      <c r="P290" s="33"/>
      <c r="Q290" s="27"/>
      <c r="R290" s="27"/>
      <c r="S290" s="34"/>
      <c r="T290" s="34"/>
      <c r="U290" s="34"/>
      <c r="V290" s="34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34"/>
    </row>
    <row r="291" customFormat="false" ht="15" hidden="false" customHeight="false" outlineLevel="0" collapsed="false">
      <c r="A291" s="27"/>
      <c r="B291" s="27"/>
      <c r="C291" s="27"/>
      <c r="D291" s="27"/>
      <c r="E291" s="27"/>
      <c r="F291" s="27"/>
      <c r="G291" s="27"/>
      <c r="H291" s="27"/>
      <c r="I291" s="28"/>
      <c r="J291" s="27"/>
      <c r="K291" s="29"/>
      <c r="L291" s="29"/>
      <c r="M291" s="30" t="str">
        <f aca="false">IF(AND(ISNUMBER(K291),ISNUMBER(L291),K291&gt;0),(K291-L291)/K291,"")</f>
        <v/>
      </c>
      <c r="N291" s="31" t="str">
        <f aca="false">IF(AND(ISNUMBER(L291),ISNUMBER(G291),G291&gt;0),IF(OR(H291="g",H291="ml"),L291/G291*1000,IF(OR(H291="kg",H291="L"),L291/G291,"")),"")</f>
        <v/>
      </c>
      <c r="O291" s="32"/>
      <c r="P291" s="33"/>
      <c r="Q291" s="27"/>
      <c r="R291" s="27"/>
      <c r="S291" s="34"/>
      <c r="T291" s="34"/>
      <c r="U291" s="34"/>
      <c r="V291" s="34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34"/>
    </row>
    <row r="292" customFormat="false" ht="15" hidden="false" customHeight="false" outlineLevel="0" collapsed="false">
      <c r="A292" s="27"/>
      <c r="B292" s="27"/>
      <c r="C292" s="27"/>
      <c r="D292" s="27"/>
      <c r="E292" s="27"/>
      <c r="F292" s="27"/>
      <c r="G292" s="27"/>
      <c r="H292" s="27"/>
      <c r="I292" s="28"/>
      <c r="J292" s="27"/>
      <c r="K292" s="29"/>
      <c r="L292" s="29"/>
      <c r="M292" s="30" t="str">
        <f aca="false">IF(AND(ISNUMBER(K292),ISNUMBER(L292),K292&gt;0),(K292-L292)/K292,"")</f>
        <v/>
      </c>
      <c r="N292" s="31" t="str">
        <f aca="false">IF(AND(ISNUMBER(L292),ISNUMBER(G292),G292&gt;0),IF(OR(H292="g",H292="ml"),L292/G292*1000,IF(OR(H292="kg",H292="L"),L292/G292,"")),"")</f>
        <v/>
      </c>
      <c r="O292" s="32"/>
      <c r="P292" s="33"/>
      <c r="Q292" s="27"/>
      <c r="R292" s="27"/>
      <c r="S292" s="34"/>
      <c r="T292" s="34"/>
      <c r="U292" s="34"/>
      <c r="V292" s="34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34"/>
    </row>
    <row r="293" customFormat="false" ht="15" hidden="false" customHeight="false" outlineLevel="0" collapsed="false">
      <c r="A293" s="27"/>
      <c r="B293" s="27"/>
      <c r="C293" s="27"/>
      <c r="D293" s="27"/>
      <c r="E293" s="27"/>
      <c r="F293" s="27"/>
      <c r="G293" s="27"/>
      <c r="H293" s="27"/>
      <c r="I293" s="28"/>
      <c r="J293" s="27"/>
      <c r="K293" s="29"/>
      <c r="L293" s="29"/>
      <c r="M293" s="30" t="str">
        <f aca="false">IF(AND(ISNUMBER(K293),ISNUMBER(L293),K293&gt;0),(K293-L293)/K293,"")</f>
        <v/>
      </c>
      <c r="N293" s="31" t="str">
        <f aca="false">IF(AND(ISNUMBER(L293),ISNUMBER(G293),G293&gt;0),IF(OR(H293="g",H293="ml"),L293/G293*1000,IF(OR(H293="kg",H293="L"),L293/G293,"")),"")</f>
        <v/>
      </c>
      <c r="O293" s="32"/>
      <c r="P293" s="33"/>
      <c r="Q293" s="27"/>
      <c r="R293" s="27"/>
      <c r="S293" s="34"/>
      <c r="T293" s="34"/>
      <c r="U293" s="34"/>
      <c r="V293" s="34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34"/>
    </row>
    <row r="294" customFormat="false" ht="15" hidden="false" customHeight="false" outlineLevel="0" collapsed="false">
      <c r="A294" s="27"/>
      <c r="B294" s="27"/>
      <c r="C294" s="27"/>
      <c r="D294" s="27"/>
      <c r="E294" s="27"/>
      <c r="F294" s="27"/>
      <c r="G294" s="27"/>
      <c r="H294" s="27"/>
      <c r="I294" s="28"/>
      <c r="J294" s="27"/>
      <c r="K294" s="29"/>
      <c r="L294" s="29"/>
      <c r="M294" s="30" t="str">
        <f aca="false">IF(AND(ISNUMBER(K294),ISNUMBER(L294),K294&gt;0),(K294-L294)/K294,"")</f>
        <v/>
      </c>
      <c r="N294" s="31" t="str">
        <f aca="false">IF(AND(ISNUMBER(L294),ISNUMBER(G294),G294&gt;0),IF(OR(H294="g",H294="ml"),L294/G294*1000,IF(OR(H294="kg",H294="L"),L294/G294,"")),"")</f>
        <v/>
      </c>
      <c r="O294" s="32"/>
      <c r="P294" s="33"/>
      <c r="Q294" s="27"/>
      <c r="R294" s="27"/>
      <c r="S294" s="34"/>
      <c r="T294" s="34"/>
      <c r="U294" s="34"/>
      <c r="V294" s="34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34"/>
    </row>
    <row r="295" customFormat="false" ht="15" hidden="false" customHeight="false" outlineLevel="0" collapsed="false">
      <c r="A295" s="27"/>
      <c r="B295" s="27"/>
      <c r="C295" s="27"/>
      <c r="D295" s="27"/>
      <c r="E295" s="27"/>
      <c r="F295" s="27"/>
      <c r="G295" s="27"/>
      <c r="H295" s="27"/>
      <c r="I295" s="28"/>
      <c r="J295" s="27"/>
      <c r="K295" s="29"/>
      <c r="L295" s="29"/>
      <c r="M295" s="30" t="str">
        <f aca="false">IF(AND(ISNUMBER(K295),ISNUMBER(L295),K295&gt;0),(K295-L295)/K295,"")</f>
        <v/>
      </c>
      <c r="N295" s="31" t="str">
        <f aca="false">IF(AND(ISNUMBER(L295),ISNUMBER(G295),G295&gt;0),IF(OR(H295="g",H295="ml"),L295/G295*1000,IF(OR(H295="kg",H295="L"),L295/G295,"")),"")</f>
        <v/>
      </c>
      <c r="O295" s="32"/>
      <c r="P295" s="33"/>
      <c r="Q295" s="27"/>
      <c r="R295" s="27"/>
      <c r="S295" s="34"/>
      <c r="T295" s="34"/>
      <c r="U295" s="34"/>
      <c r="V295" s="34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34"/>
    </row>
    <row r="296" customFormat="false" ht="15" hidden="false" customHeight="false" outlineLevel="0" collapsed="false">
      <c r="A296" s="27"/>
      <c r="B296" s="27"/>
      <c r="C296" s="27"/>
      <c r="D296" s="27"/>
      <c r="E296" s="27"/>
      <c r="F296" s="27"/>
      <c r="G296" s="27"/>
      <c r="H296" s="27"/>
      <c r="I296" s="28"/>
      <c r="J296" s="27"/>
      <c r="K296" s="29"/>
      <c r="L296" s="29"/>
      <c r="M296" s="30" t="str">
        <f aca="false">IF(AND(ISNUMBER(K296),ISNUMBER(L296),K296&gt;0),(K296-L296)/K296,"")</f>
        <v/>
      </c>
      <c r="N296" s="31" t="str">
        <f aca="false">IF(AND(ISNUMBER(L296),ISNUMBER(G296),G296&gt;0),IF(OR(H296="g",H296="ml"),L296/G296*1000,IF(OR(H296="kg",H296="L"),L296/G296,"")),"")</f>
        <v/>
      </c>
      <c r="O296" s="32"/>
      <c r="P296" s="33"/>
      <c r="Q296" s="27"/>
      <c r="R296" s="27"/>
      <c r="S296" s="34"/>
      <c r="T296" s="34"/>
      <c r="U296" s="34"/>
      <c r="V296" s="34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34"/>
    </row>
    <row r="297" customFormat="false" ht="15" hidden="false" customHeight="false" outlineLevel="0" collapsed="false">
      <c r="A297" s="27"/>
      <c r="B297" s="27"/>
      <c r="C297" s="27"/>
      <c r="D297" s="27"/>
      <c r="E297" s="27"/>
      <c r="F297" s="27"/>
      <c r="G297" s="27"/>
      <c r="H297" s="27"/>
      <c r="I297" s="28"/>
      <c r="J297" s="27"/>
      <c r="K297" s="29"/>
      <c r="L297" s="29"/>
      <c r="M297" s="30" t="str">
        <f aca="false">IF(AND(ISNUMBER(K297),ISNUMBER(L297),K297&gt;0),(K297-L297)/K297,"")</f>
        <v/>
      </c>
      <c r="N297" s="31" t="str">
        <f aca="false">IF(AND(ISNUMBER(L297),ISNUMBER(G297),G297&gt;0),IF(OR(H297="g",H297="ml"),L297/G297*1000,IF(OR(H297="kg",H297="L"),L297/G297,"")),"")</f>
        <v/>
      </c>
      <c r="O297" s="32"/>
      <c r="P297" s="33"/>
      <c r="Q297" s="27"/>
      <c r="R297" s="27"/>
      <c r="S297" s="34"/>
      <c r="T297" s="34"/>
      <c r="U297" s="34"/>
      <c r="V297" s="34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34"/>
    </row>
    <row r="298" customFormat="false" ht="15" hidden="false" customHeight="false" outlineLevel="0" collapsed="false">
      <c r="A298" s="27"/>
      <c r="B298" s="27"/>
      <c r="C298" s="27"/>
      <c r="D298" s="27"/>
      <c r="E298" s="27"/>
      <c r="F298" s="27"/>
      <c r="G298" s="27"/>
      <c r="H298" s="27"/>
      <c r="I298" s="28"/>
      <c r="J298" s="27"/>
      <c r="K298" s="29"/>
      <c r="L298" s="29"/>
      <c r="M298" s="30" t="str">
        <f aca="false">IF(AND(ISNUMBER(K298),ISNUMBER(L298),K298&gt;0),(K298-L298)/K298,"")</f>
        <v/>
      </c>
      <c r="N298" s="31" t="str">
        <f aca="false">IF(AND(ISNUMBER(L298),ISNUMBER(G298),G298&gt;0),IF(OR(H298="g",H298="ml"),L298/G298*1000,IF(OR(H298="kg",H298="L"),L298/G298,"")),"")</f>
        <v/>
      </c>
      <c r="O298" s="32"/>
      <c r="P298" s="33"/>
      <c r="Q298" s="27"/>
      <c r="R298" s="27"/>
      <c r="S298" s="34"/>
      <c r="T298" s="34"/>
      <c r="U298" s="34"/>
      <c r="V298" s="34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34"/>
    </row>
    <row r="299" customFormat="false" ht="15" hidden="false" customHeight="false" outlineLevel="0" collapsed="false">
      <c r="A299" s="27"/>
      <c r="B299" s="27"/>
      <c r="C299" s="27"/>
      <c r="D299" s="27"/>
      <c r="E299" s="27"/>
      <c r="F299" s="27"/>
      <c r="G299" s="27"/>
      <c r="H299" s="27"/>
      <c r="I299" s="28"/>
      <c r="J299" s="27"/>
      <c r="K299" s="29"/>
      <c r="L299" s="29"/>
      <c r="M299" s="30" t="str">
        <f aca="false">IF(AND(ISNUMBER(K299),ISNUMBER(L299),K299&gt;0),(K299-L299)/K299,"")</f>
        <v/>
      </c>
      <c r="N299" s="31" t="str">
        <f aca="false">IF(AND(ISNUMBER(L299),ISNUMBER(G299),G299&gt;0),IF(OR(H299="g",H299="ml"),L299/G299*1000,IF(OR(H299="kg",H299="L"),L299/G299,"")),"")</f>
        <v/>
      </c>
      <c r="O299" s="32"/>
      <c r="P299" s="33"/>
      <c r="Q299" s="27"/>
      <c r="R299" s="27"/>
      <c r="S299" s="34"/>
      <c r="T299" s="34"/>
      <c r="U299" s="34"/>
      <c r="V299" s="34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34"/>
    </row>
    <row r="300" customFormat="false" ht="15" hidden="false" customHeight="false" outlineLevel="0" collapsed="false">
      <c r="A300" s="27"/>
      <c r="B300" s="27"/>
      <c r="C300" s="27"/>
      <c r="D300" s="27"/>
      <c r="E300" s="27"/>
      <c r="F300" s="27"/>
      <c r="G300" s="27"/>
      <c r="H300" s="27"/>
      <c r="I300" s="28"/>
      <c r="J300" s="27"/>
      <c r="K300" s="29"/>
      <c r="L300" s="29"/>
      <c r="M300" s="30" t="str">
        <f aca="false">IF(AND(ISNUMBER(K300),ISNUMBER(L300),K300&gt;0),(K300-L300)/K300,"")</f>
        <v/>
      </c>
      <c r="N300" s="31" t="str">
        <f aca="false">IF(AND(ISNUMBER(L300),ISNUMBER(G300),G300&gt;0),IF(OR(H300="g",H300="ml"),L300/G300*1000,IF(OR(H300="kg",H300="L"),L300/G300,"")),"")</f>
        <v/>
      </c>
      <c r="O300" s="32"/>
      <c r="P300" s="33"/>
      <c r="Q300" s="27"/>
      <c r="R300" s="27"/>
      <c r="S300" s="34"/>
      <c r="T300" s="34"/>
      <c r="U300" s="34"/>
      <c r="V300" s="34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34"/>
    </row>
  </sheetData>
  <autoFilter ref="A2:AI300"/>
  <mergeCells count="1">
    <mergeCell ref="A1:L1"/>
  </mergeCells>
  <conditionalFormatting sqref="A3:A300">
    <cfRule type="expression" priority="2" aboveAverage="0" equalAverage="0" bottom="0" percent="0" rank="0" text="" dxfId="7">
      <formula>AND(A3&lt;&gt;"",COUNTIF($A$3:$A$300,A3)&gt;1)</formula>
    </cfRule>
  </conditionalFormatting>
  <dataValidations count="11">
    <dataValidation allowBlank="true" error="Pick a category from the list (add new ones on the Categories sheet)." errorStyle="stop" errorTitle="Category" operator="between" showDropDown="false" showErrorMessage="true" showInputMessage="false" sqref="C3:C300" type="list">
      <formula1>Categories!$A$2:$A$31</formula1>
      <formula2>0</formula2>
    </dataValidation>
    <dataValidation allowBlank="true" error="Please pick from the dropdown." errorStyle="stop" errorTitle="Variant Type" operator="between" showDropDown="false" showErrorMessage="true" showInputMessage="false" sqref="D3:D300" type="list">
      <formula1>Lists!$F$2:$F$5</formula1>
      <formula2>0</formula2>
    </dataValidation>
    <dataValidation allowBlank="true" error="Please pick from the dropdown." errorStyle="stop" errorTitle="Unit" operator="between" showDropDown="false" showErrorMessage="true" showInputMessage="false" sqref="H3:H300" type="list">
      <formula1>Lists!$A$2:$A$7</formula1>
      <formula2>0</formula2>
    </dataValidation>
    <dataValidation allowBlank="true" error="Please pick from the dropdown." errorStyle="stop" errorTitle="GST Rate" operator="between" showDropDown="false" showErrorMessage="true" showInputMessage="false" sqref="O3:O300" type="list">
      <formula1>Lists!$B$2:$B$5</formula1>
      <formula2>0</formula2>
    </dataValidation>
    <dataValidation allowBlank="true" error="Please pick from the dropdown." errorStyle="stop" errorTitle="Veg / Vegan" operator="between" showDropDown="false" showErrorMessage="true" showInputMessage="false" sqref="X3:X300" type="list">
      <formula1>Lists!$D$2:$D$4</formula1>
      <formula2>0</formula2>
    </dataValidation>
    <dataValidation allowBlank="true" error="Please pick from the dropdown." errorStyle="stop" errorTitle="Featured on Home?" operator="between" showDropDown="false" showErrorMessage="true" showInputMessage="false" sqref="AF3:AF300" type="list">
      <formula1>Lists!$C$2:$C$3</formula1>
      <formula2>0</formula2>
    </dataValidation>
    <dataValidation allowBlank="true" error="Please pick from the dropdown." errorStyle="stop" errorTitle="Deal of the Week?" operator="between" showDropDown="false" showErrorMessage="true" showInputMessage="false" sqref="AG3:AG300" type="list">
      <formula1>Lists!$C$2:$C$3</formula1>
      <formula2>0</formula2>
    </dataValidation>
    <dataValidation allowBlank="true" error="Please pick from the dropdown." errorStyle="stop" errorTitle="Status" operator="between" showDropDown="false" showErrorMessage="true" showInputMessage="false" sqref="AH3:AH300" type="list">
      <formula1>Lists!$E$2:$E$4</formula1>
      <formula2>0</formula2>
    </dataValidation>
    <dataValidation allowBlank="true" error="Enter a number (no ₹ sign, no text)." errorStyle="stop" operator="greaterThanOrEqual" showDropDown="false" showErrorMessage="true" showInputMessage="false" sqref="G3:G300 I3:I300 K3:K300 Q3:R300 Y3:Y300" type="decimal">
      <formula1>0</formula1>
      <formula2>0</formula2>
    </dataValidation>
    <dataValidation allowBlank="true" error="Selling Price cannot be more than MRP." errorStyle="stop" errorTitle="Selling price" operator="between" showDropDown="false" showErrorMessage="true" showInputMessage="false" sqref="L3:L300" type="custom">
      <formula1>OR(L3="",K3="",L3&lt;=K3)</formula1>
      <formula2>0</formula2>
    </dataValidation>
    <dataValidation allowBlank="true" error="Keep the short description under 160 characters." errorStyle="stop" operator="lessThanOrEqual" showDropDown="false" showErrorMessage="true" showInputMessage="false" sqref="S3:S300" type="textLength">
      <formula1>160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5" min="5" style="0" width="10"/>
  </cols>
  <sheetData>
    <row r="1" customFormat="false" ht="31.5" hidden="false" customHeight="true" outlineLevel="0" collapsed="false">
      <c r="A1" s="11" t="s">
        <v>289</v>
      </c>
      <c r="B1" s="18" t="s">
        <v>290</v>
      </c>
      <c r="C1" s="18" t="s">
        <v>291</v>
      </c>
      <c r="D1" s="18" t="s">
        <v>292</v>
      </c>
      <c r="E1" s="18" t="s">
        <v>293</v>
      </c>
    </row>
    <row r="2" customFormat="false" ht="15" hidden="false" customHeight="false" outlineLevel="0" collapsed="false">
      <c r="A2" s="35" t="s">
        <v>32</v>
      </c>
      <c r="B2" s="35"/>
      <c r="C2" s="35" t="s">
        <v>294</v>
      </c>
      <c r="D2" s="35" t="s">
        <v>295</v>
      </c>
      <c r="E2" s="35" t="n">
        <v>1</v>
      </c>
    </row>
    <row r="3" customFormat="false" ht="15" hidden="false" customHeight="false" outlineLevel="0" collapsed="false">
      <c r="A3" s="35" t="s">
        <v>172</v>
      </c>
      <c r="B3" s="35"/>
      <c r="C3" s="35" t="s">
        <v>296</v>
      </c>
      <c r="D3" s="35" t="s">
        <v>297</v>
      </c>
      <c r="E3" s="35" t="n">
        <v>2</v>
      </c>
    </row>
    <row r="4" customFormat="false" ht="15" hidden="false" customHeight="false" outlineLevel="0" collapsed="false">
      <c r="A4" s="35" t="s">
        <v>204</v>
      </c>
      <c r="B4" s="35"/>
      <c r="C4" s="35" t="s">
        <v>298</v>
      </c>
      <c r="D4" s="35" t="s">
        <v>299</v>
      </c>
      <c r="E4" s="35" t="n">
        <v>3</v>
      </c>
    </row>
    <row r="5" customFormat="false" ht="15" hidden="false" customHeight="false" outlineLevel="0" collapsed="false">
      <c r="A5" s="35" t="s">
        <v>230</v>
      </c>
      <c r="B5" s="35"/>
      <c r="C5" s="35" t="s">
        <v>300</v>
      </c>
      <c r="D5" s="35" t="s">
        <v>301</v>
      </c>
      <c r="E5" s="35" t="n">
        <v>4</v>
      </c>
    </row>
    <row r="6" customFormat="false" ht="15" hidden="false" customHeight="false" outlineLevel="0" collapsed="false">
      <c r="A6" s="35" t="s">
        <v>243</v>
      </c>
      <c r="B6" s="35"/>
      <c r="C6" s="35" t="s">
        <v>302</v>
      </c>
      <c r="D6" s="35" t="s">
        <v>303</v>
      </c>
      <c r="E6" s="35" t="n">
        <v>5</v>
      </c>
    </row>
    <row r="7" customFormat="false" ht="15" hidden="false" customHeight="false" outlineLevel="0" collapsed="false">
      <c r="A7" s="35" t="s">
        <v>254</v>
      </c>
      <c r="B7" s="35"/>
      <c r="C7" s="35" t="s">
        <v>304</v>
      </c>
      <c r="D7" s="35" t="s">
        <v>305</v>
      </c>
      <c r="E7" s="35" t="n">
        <v>6</v>
      </c>
    </row>
    <row r="8" customFormat="false" ht="15" hidden="false" customHeight="false" outlineLevel="0" collapsed="false">
      <c r="A8" s="35" t="s">
        <v>306</v>
      </c>
      <c r="B8" s="35"/>
      <c r="C8" s="35" t="s">
        <v>307</v>
      </c>
      <c r="D8" s="35" t="s">
        <v>308</v>
      </c>
      <c r="E8" s="35" t="n">
        <v>7</v>
      </c>
    </row>
    <row r="9" customFormat="false" ht="15" hidden="false" customHeight="false" outlineLevel="0" collapsed="false">
      <c r="A9" s="35"/>
      <c r="B9" s="35"/>
      <c r="C9" s="35"/>
      <c r="D9" s="35"/>
      <c r="E9" s="35"/>
    </row>
    <row r="10" customFormat="false" ht="15" hidden="false" customHeight="false" outlineLevel="0" collapsed="false">
      <c r="A10" s="35"/>
      <c r="B10" s="35"/>
      <c r="C10" s="35"/>
      <c r="D10" s="35"/>
      <c r="E10" s="35"/>
    </row>
    <row r="11" customFormat="false" ht="15" hidden="false" customHeight="false" outlineLevel="0" collapsed="false">
      <c r="A11" s="35"/>
      <c r="B11" s="35"/>
      <c r="C11" s="35"/>
      <c r="D11" s="35"/>
      <c r="E11" s="35"/>
    </row>
    <row r="12" customFormat="false" ht="15" hidden="false" customHeight="false" outlineLevel="0" collapsed="false">
      <c r="A12" s="35"/>
      <c r="B12" s="35"/>
      <c r="C12" s="35"/>
      <c r="D12" s="35"/>
      <c r="E12" s="35"/>
    </row>
    <row r="13" customFormat="false" ht="15" hidden="false" customHeight="false" outlineLevel="0" collapsed="false">
      <c r="A13" s="35"/>
      <c r="B13" s="35"/>
      <c r="C13" s="35"/>
      <c r="D13" s="35"/>
      <c r="E13" s="35"/>
    </row>
    <row r="14" customFormat="false" ht="15" hidden="false" customHeight="false" outlineLevel="0" collapsed="false">
      <c r="A14" s="35"/>
      <c r="B14" s="35"/>
      <c r="C14" s="35"/>
      <c r="D14" s="35"/>
      <c r="E14" s="35"/>
    </row>
    <row r="15" customFormat="false" ht="15" hidden="false" customHeight="false" outlineLevel="0" collapsed="false">
      <c r="A15" s="35"/>
      <c r="B15" s="35"/>
      <c r="C15" s="35"/>
      <c r="D15" s="35"/>
      <c r="E15" s="35"/>
    </row>
    <row r="16" customFormat="false" ht="15" hidden="false" customHeight="false" outlineLevel="0" collapsed="false">
      <c r="A16" s="35"/>
      <c r="B16" s="35"/>
      <c r="C16" s="35"/>
      <c r="D16" s="35"/>
      <c r="E16" s="35"/>
    </row>
    <row r="17" customFormat="false" ht="15" hidden="false" customHeight="false" outlineLevel="0" collapsed="false">
      <c r="A17" s="35"/>
      <c r="B17" s="35"/>
      <c r="C17" s="35"/>
      <c r="D17" s="35"/>
      <c r="E17" s="35"/>
    </row>
    <row r="18" customFormat="false" ht="15" hidden="false" customHeight="false" outlineLevel="0" collapsed="false">
      <c r="A18" s="35"/>
      <c r="B18" s="35"/>
      <c r="C18" s="35"/>
      <c r="D18" s="35"/>
      <c r="E18" s="35"/>
    </row>
    <row r="19" customFormat="false" ht="15" hidden="false" customHeight="false" outlineLevel="0" collapsed="false">
      <c r="A19" s="35"/>
      <c r="B19" s="35"/>
      <c r="C19" s="35"/>
      <c r="D19" s="35"/>
      <c r="E19" s="35"/>
    </row>
    <row r="20" customFormat="false" ht="15" hidden="false" customHeight="false" outlineLevel="0" collapsed="false">
      <c r="A20" s="35"/>
      <c r="B20" s="35"/>
      <c r="C20" s="35"/>
      <c r="D20" s="35"/>
      <c r="E20" s="35"/>
    </row>
    <row r="21" customFormat="false" ht="15" hidden="false" customHeight="false" outlineLevel="0" collapsed="false">
      <c r="A21" s="35"/>
      <c r="B21" s="35"/>
      <c r="C21" s="35"/>
      <c r="D21" s="35"/>
      <c r="E21" s="35"/>
    </row>
    <row r="22" customFormat="false" ht="15" hidden="false" customHeight="false" outlineLevel="0" collapsed="false">
      <c r="A22" s="35"/>
      <c r="B22" s="35"/>
      <c r="C22" s="35"/>
      <c r="D22" s="35"/>
      <c r="E22" s="35"/>
    </row>
    <row r="23" customFormat="false" ht="15" hidden="false" customHeight="false" outlineLevel="0" collapsed="false">
      <c r="A23" s="35"/>
      <c r="B23" s="35"/>
      <c r="C23" s="35"/>
      <c r="D23" s="35"/>
      <c r="E23" s="35"/>
    </row>
    <row r="24" customFormat="false" ht="15" hidden="false" customHeight="false" outlineLevel="0" collapsed="false">
      <c r="A24" s="35"/>
      <c r="B24" s="35"/>
      <c r="C24" s="35"/>
      <c r="D24" s="35"/>
      <c r="E24" s="35"/>
    </row>
    <row r="25" customFormat="false" ht="15" hidden="false" customHeight="false" outlineLevel="0" collapsed="false">
      <c r="A25" s="35"/>
      <c r="B25" s="35"/>
      <c r="C25" s="35"/>
      <c r="D25" s="35"/>
      <c r="E25" s="35"/>
    </row>
    <row r="26" customFormat="false" ht="15" hidden="false" customHeight="false" outlineLevel="0" collapsed="false">
      <c r="A26" s="35"/>
      <c r="B26" s="35"/>
      <c r="C26" s="35"/>
      <c r="D26" s="35"/>
      <c r="E26" s="35"/>
    </row>
    <row r="27" customFormat="false" ht="15" hidden="false" customHeight="false" outlineLevel="0" collapsed="false">
      <c r="A27" s="35"/>
      <c r="B27" s="35"/>
      <c r="C27" s="35"/>
      <c r="D27" s="35"/>
      <c r="E27" s="35"/>
    </row>
    <row r="28" customFormat="false" ht="15" hidden="false" customHeight="false" outlineLevel="0" collapsed="false">
      <c r="A28" s="35"/>
      <c r="B28" s="35"/>
      <c r="C28" s="35"/>
      <c r="D28" s="35"/>
      <c r="E28" s="35"/>
    </row>
    <row r="29" customFormat="false" ht="15" hidden="false" customHeight="false" outlineLevel="0" collapsed="false">
      <c r="A29" s="35"/>
      <c r="B29" s="35"/>
      <c r="C29" s="35"/>
      <c r="D29" s="35"/>
      <c r="E29" s="35"/>
    </row>
    <row r="30" customFormat="false" ht="15" hidden="false" customHeight="false" outlineLevel="0" collapsed="false">
      <c r="A30" s="35"/>
      <c r="B30" s="35"/>
      <c r="C30" s="35"/>
      <c r="D30" s="35"/>
      <c r="E30" s="35"/>
    </row>
    <row r="31" customFormat="false" ht="15" hidden="false" customHeight="false" outlineLevel="0" collapsed="false">
      <c r="A31" s="35"/>
      <c r="B31" s="35"/>
      <c r="C31" s="35"/>
      <c r="D31" s="35"/>
      <c r="E31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5" hidden="false" customHeight="false" outlineLevel="0" collapsed="false">
      <c r="A1" s="36" t="s">
        <v>46</v>
      </c>
      <c r="B1" s="36" t="s">
        <v>309</v>
      </c>
      <c r="C1" s="36" t="s">
        <v>310</v>
      </c>
      <c r="D1" s="36" t="s">
        <v>311</v>
      </c>
      <c r="E1" s="36" t="s">
        <v>114</v>
      </c>
      <c r="F1" s="36" t="s">
        <v>312</v>
      </c>
    </row>
    <row r="2" customFormat="false" ht="15" hidden="false" customHeight="false" outlineLevel="0" collapsed="false">
      <c r="A2" s="37" t="s">
        <v>48</v>
      </c>
      <c r="B2" s="38" t="n">
        <v>0</v>
      </c>
      <c r="C2" s="37" t="s">
        <v>24</v>
      </c>
      <c r="D2" s="37" t="s">
        <v>285</v>
      </c>
      <c r="E2" s="37" t="s">
        <v>116</v>
      </c>
      <c r="F2" s="37" t="s">
        <v>173</v>
      </c>
    </row>
    <row r="3" customFormat="false" ht="15" hidden="false" customHeight="false" outlineLevel="0" collapsed="false">
      <c r="A3" s="37" t="s">
        <v>223</v>
      </c>
      <c r="B3" s="38" t="n">
        <v>0.05</v>
      </c>
      <c r="C3" s="37" t="s">
        <v>113</v>
      </c>
      <c r="D3" s="37" t="s">
        <v>90</v>
      </c>
      <c r="E3" s="37" t="s">
        <v>313</v>
      </c>
      <c r="F3" s="37" t="s">
        <v>163</v>
      </c>
    </row>
    <row r="4" customFormat="false" ht="15" hidden="false" customHeight="false" outlineLevel="0" collapsed="false">
      <c r="A4" s="37" t="s">
        <v>277</v>
      </c>
      <c r="B4" s="38" t="n">
        <v>0.12</v>
      </c>
      <c r="D4" s="37" t="s">
        <v>314</v>
      </c>
      <c r="E4" s="37" t="s">
        <v>315</v>
      </c>
      <c r="F4" s="37" t="s">
        <v>35</v>
      </c>
    </row>
    <row r="5" customFormat="false" ht="15" hidden="false" customHeight="false" outlineLevel="0" collapsed="false">
      <c r="A5" s="37" t="s">
        <v>256</v>
      </c>
      <c r="B5" s="38" t="n">
        <v>0.18</v>
      </c>
      <c r="F5" s="37" t="s">
        <v>192</v>
      </c>
    </row>
    <row r="6" customFormat="false" ht="15" hidden="false" customHeight="false" outlineLevel="0" collapsed="false">
      <c r="A6" s="37" t="s">
        <v>316</v>
      </c>
    </row>
    <row r="7" customFormat="false" ht="15" hidden="false" customHeight="false" outlineLevel="0" collapsed="false">
      <c r="A7" s="37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2026-10-17T10:53:49Z</dcterms:created>
  <dc:creator>openpyxl</dc:creator>
  <dc:description/>
  <dc:language>en-US</dc:language>
  <cp:lastModifiedBy/>
  <dcterms:modified xsi:type="dcterms:W3CDTF">2026-10-17T10:53:49Z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